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Dashboard" sheetId="1" state="visible" r:id="rId3"/>
    <sheet name="Notes &amp; méthodologie" sheetId="2" state="visible" r:id="rId4"/>
    <sheet name="Antennes — Détail solaire" sheetId="3" state="visible" r:id="rId5"/>
    <sheet name="Répartition par antenne" sheetId="4" state="visible" r:id="rId6"/>
    <sheet name="Synthèse par région" sheetId="5" state="visible" r:id="rId7"/>
    <sheet name="Données sites" sheetId="6" state="visible" r:id="rId8"/>
    <sheet name="Organigramme" sheetId="7" state="visible" r:id="rId9"/>
    <sheet name="Données - Équip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<sst xmlns="http://schemas.openxmlformats.org/spreadsheetml/2006/main" count="6824" uniqueCount="1087">
  <si>
    <t xml:space="preserve">TABLEAU DE BORD AER — PARC SOLAIRE &amp; RESSOURCES HUMAINES</t>
  </si>
  <si>
    <t xml:space="preserve">Généré le 28/09/2026 — Sources : « Données sites / Répartition par antenne » (parc solaire, 499 sites) et « Données - Équipes » (personnel terrain).</t>
  </si>
  <si>
    <t xml:space="preserve">SITES INSTALLÉS</t>
  </si>
  <si>
    <t xml:space="preserve">PUISSANCE TOTALE (kWc)</t>
  </si>
  <si>
    <t xml:space="preserve">ANTENNES RÉSEAU SOLAIRE</t>
  </si>
  <si>
    <t xml:space="preserve">EFFECTIF RECOMMANDÉ (total)</t>
  </si>
  <si>
    <t xml:space="preserve">SITES / AGENT (moy.)</t>
  </si>
  <si>
    <t xml:space="preserve">ÉQUIPES CONSTITUÉES</t>
  </si>
  <si>
    <t xml:space="preserve">POSTES POURVUS / REQUIS</t>
  </si>
  <si>
    <t xml:space="preserve">TOTAL MANQUES</t>
  </si>
  <si>
    <t xml:space="preserve">PERSONNEL DISPONIBLE (non affecté)</t>
  </si>
  <si>
    <t xml:space="preserve">MANQUE INGÉNIEURS</t>
  </si>
  <si>
    <t xml:space="preserve">MANQUE TECH. / CHAUFF.</t>
  </si>
  <si>
    <t xml:space="preserve">PARC SOLAIRE — CHARGE ET DIMENSIONNEMENT PAR ANTENNE</t>
  </si>
  <si>
    <t xml:space="preserve">Antenne</t>
  </si>
  <si>
    <t xml:space="preserve">Type</t>
  </si>
  <si>
    <t xml:space="preserve">Régions / départements couverts</t>
  </si>
  <si>
    <t xml:space="preserve">Nb sites</t>
  </si>
  <si>
    <t xml:space="preserve">Puissance (kWc)</t>
  </si>
  <si>
    <t xml:space="preserve">Effectif recommandé</t>
  </si>
  <si>
    <t xml:space="preserve">% des sites</t>
  </si>
  <si>
    <t xml:space="preserve">Sites / agent</t>
  </si>
  <si>
    <t xml:space="preserve">Antenne Bamenda</t>
  </si>
  <si>
    <t xml:space="preserve">Principale</t>
  </si>
  <si>
    <t xml:space="preserve">Nord-Ouest, Ouest</t>
  </si>
  <si>
    <t xml:space="preserve">Antenne Limbé</t>
  </si>
  <si>
    <t xml:space="preserve">Littoral (hors Moungo), Sud-Ouest (hors Kupé)</t>
  </si>
  <si>
    <t xml:space="preserve">Antenne Nkongsamba</t>
  </si>
  <si>
    <t xml:space="preserve">Annexe</t>
  </si>
  <si>
    <t xml:space="preserve">Moungo, Kupé-Manenguba, Nyong-et-Kellé</t>
  </si>
  <si>
    <t xml:space="preserve">Antenne Garoua</t>
  </si>
  <si>
    <t xml:space="preserve">Nord</t>
  </si>
  <si>
    <t xml:space="preserve">Antenne Maroua</t>
  </si>
  <si>
    <t xml:space="preserve">Extrême-Nord</t>
  </si>
  <si>
    <t xml:space="preserve">Antenne Ngaoundéré</t>
  </si>
  <si>
    <t xml:space="preserve">Adamaoua</t>
  </si>
  <si>
    <t xml:space="preserve">Siège Yaoundé</t>
  </si>
  <si>
    <t xml:space="preserve">Centre (reste)</t>
  </si>
  <si>
    <t xml:space="preserve">Antenne Bertoua</t>
  </si>
  <si>
    <t xml:space="preserve">Est, Nyong-et-Mfoumou, Haute-Sanaga</t>
  </si>
  <si>
    <t xml:space="preserve">Antenne Ebolowa</t>
  </si>
  <si>
    <t xml:space="preserve">Sud, Nyong-et-So'o</t>
  </si>
  <si>
    <t xml:space="preserve">TOTAL (9 antennes)</t>
  </si>
  <si>
    <t xml:space="preserve">RESSOURCES HUMAINES — MANQUES PAR ANTENNE (déploiement terrain actuel)</t>
  </si>
  <si>
    <t xml:space="preserve">Antenne (nomenclature RH)</t>
  </si>
  <si>
    <t xml:space="preserve">Région (hypothèse)</t>
  </si>
  <si>
    <t xml:space="preserve">Ingénieur manquant</t>
  </si>
  <si>
    <t xml:space="preserve">Technicien manquant</t>
  </si>
  <si>
    <t xml:space="preserve">Chauffeur manquant</t>
  </si>
  <si>
    <t xml:space="preserve">Total manques</t>
  </si>
  <si>
    <t xml:space="preserve">Postes pourvus</t>
  </si>
  <si>
    <t xml:space="preserve">Extreme-Nord</t>
  </si>
  <si>
    <t xml:space="preserve">Nord-Ouest</t>
  </si>
  <si>
    <t xml:space="preserve">Est</t>
  </si>
  <si>
    <t xml:space="preserve">Sud - Centre</t>
  </si>
  <si>
    <t xml:space="preserve">Sud &amp; Centre*</t>
  </si>
  <si>
    <t xml:space="preserve">Sud-Ouest</t>
  </si>
  <si>
    <t xml:space="preserve">Sud-Ouest NKONSAMBA</t>
  </si>
  <si>
    <t xml:space="preserve">Littoral*</t>
  </si>
  <si>
    <t xml:space="preserve">Centre (Siège)</t>
  </si>
  <si>
    <t xml:space="preserve">TOTAL (9 antennes / 16 équipes)</t>
  </si>
  <si>
    <t xml:space="preserve">MANQUES PAR PROFIL</t>
  </si>
  <si>
    <t xml:space="preserve">STATUT DES 16 ÉQUIPES (OK / manquant)</t>
  </si>
  <si>
    <t xml:space="preserve">Profil</t>
  </si>
  <si>
    <t xml:space="preserve">Besoin (16 équipes)</t>
  </si>
  <si>
    <t xml:space="preserve">Présent</t>
  </si>
  <si>
    <t xml:space="preserve">Manque</t>
  </si>
  <si>
    <t xml:space="preserve">Disponible (non affecté)</t>
  </si>
  <si>
    <t xml:space="preserve">Équipe (antenne — zone)</t>
  </si>
  <si>
    <t xml:space="preserve">Ingénieur</t>
  </si>
  <si>
    <t xml:space="preserve">Technicien 1</t>
  </si>
  <si>
    <t xml:space="preserve">Technicien 2</t>
  </si>
  <si>
    <t xml:space="preserve">Chauffeur</t>
  </si>
  <si>
    <t xml:space="preserve">Statut équipe</t>
  </si>
  <si>
    <t xml:space="preserve">Extrême-Nord — Z1</t>
  </si>
  <si>
    <t xml:space="preserve">Technicien</t>
  </si>
  <si>
    <t xml:space="preserve">Nord — Z1</t>
  </si>
  <si>
    <t xml:space="preserve">Nord — Z2</t>
  </si>
  <si>
    <t xml:space="preserve">TOTAL</t>
  </si>
  <si>
    <t xml:space="preserve">Nord-Ouest — Z1</t>
  </si>
  <si>
    <t xml:space="preserve">Nord-Ouest — Z2</t>
  </si>
  <si>
    <t xml:space="preserve">Nord-Ouest — Z3</t>
  </si>
  <si>
    <t xml:space="preserve">Adamaoua — Z1</t>
  </si>
  <si>
    <t xml:space="preserve">Est — Z1</t>
  </si>
  <si>
    <t xml:space="preserve">Est — Z2</t>
  </si>
  <si>
    <t xml:space="preserve">Sud - Centre — Z1</t>
  </si>
  <si>
    <t xml:space="preserve">Sud - Centre — Z2</t>
  </si>
  <si>
    <t xml:space="preserve">Sud-Ouest — Z1</t>
  </si>
  <si>
    <t xml:space="preserve">NKONSAMBA — Z1</t>
  </si>
  <si>
    <t xml:space="preserve">NKONSAMBA — Z2</t>
  </si>
  <si>
    <t xml:space="preserve">Siège Yaoundé — Z1</t>
  </si>
  <si>
    <t xml:space="preserve">Siège Yaoundé — Z2</t>
  </si>
  <si>
    <t xml:space="preserve">PLAN D'ACTION PRIORITAIRE — RECRUTEMENT / REDÉPLOIEMENT</t>
  </si>
  <si>
    <t xml:space="preserve">Rang</t>
  </si>
  <si>
    <t xml:space="preserve">Postes manquants</t>
  </si>
  <si>
    <t xml:space="preserve">Profils manquants</t>
  </si>
  <si>
    <t xml:space="preserve">Recommandation</t>
  </si>
  <si>
    <t xml:space="preserve">Chauffeur, Technicien</t>
  </si>
  <si>
    <t xml:space="preserve">redéployer 1 Technicien(s) du pool non affecté ; recrutement externe requis pour 1 Chauffeur(s) (pool national épuisé).</t>
  </si>
  <si>
    <t xml:space="preserve">Chauffeur, Ingénieur</t>
  </si>
  <si>
    <t xml:space="preserve">redéployer 1 Ingénieur(s) du pool non affecté ; recrutement externe requis pour 1 Chauffeur(s) (pool national épuisé).</t>
  </si>
  <si>
    <t xml:space="preserve">recrutement externe requis pour 1 Ingénieur(s) (pool national épuisé).</t>
  </si>
  <si>
    <t xml:space="preserve">redéployer 1 Technicien(s) du pool non affecté.</t>
  </si>
  <si>
    <t xml:space="preserve">—</t>
  </si>
  <si>
    <t xml:space="preserve">Équipe complète — aucune action requise.</t>
  </si>
  <si>
    <t xml:space="preserve">VISUALISATIONS</t>
  </si>
  <si>
    <t xml:space="preserve">Statut</t>
  </si>
  <si>
    <t xml:space="preserve">Nb équipes</t>
  </si>
  <si>
    <t xml:space="preserve">Complète</t>
  </si>
  <si>
    <t xml:space="preserve">Partielle</t>
  </si>
  <si>
    <t xml:space="preserve">Critique</t>
  </si>
  <si>
    <t xml:space="preserve">Note méthodologique importante : le réseau d'antennes du parc solaire (9 antennes nommées par ville — Bamenda, Limbé, Nkongsamba, Garoua, Maroua, Ngaoundéré, Siège Yaoundé, Bertoua, Ebolowa) et le réseau d'antennes du fichier RH (9 antennes nommées par région — Extrême-Nord, Nord, Nord-Ouest, Adamaoua, Est, Sud - Centre, Sud-Ouest, Nkongsamba, Siège Yaoundé) suivent deux découpages géographiques différents et ne se recouvrent pas antenne pour antenne (ex. « Antenne Bamenda » couvre aussi l'Ouest, absent du découpage RH ; « Antenne Sud-Ouest » RH et « Antenne Limbé » solaire ne couvrent pas exactement le même périmètre). Les deux blocs de ce tableau de bord sont donc présentés côte à côte mais ne doivent pas être additionnés antenne par antenne sans confirmation préalable de votre part. Détail complet des hypothèses : voir la feuille « Notes &amp; méthodologie ».</t>
  </si>
  <si>
    <t xml:space="preserve">NOTES &amp; MÉTHODOLOGIE — TABLEAU DE BORD AER (PARC SOLAIRE &amp; RESSOURCES HUMAINES)</t>
  </si>
  <si>
    <t xml:space="preserve">A. Parc solaire — nettoyage des données et règles de rattachement (499 sites)</t>
  </si>
  <si>
    <t xml:space="preserve">1. Régions harmonisées en français : « North » → Nord, « South-West » → Sud-Ouest, etc.</t>
  </si>
  <si>
    <t xml:space="preserve">2. Départements harmonisés : variantes orthographiques unifiées (ex. « Mayo Rey I / II » → Mayo-Rey, « Kupe-Menenguba / KupeMuanenguba » → Kupé-Manenguba, « Mungo / Moungo » → Moungo).</t>
  </si>
  <si>
    <t xml:space="preserve">3. Coordonnées : la Phase 2, fournie au format texte « N6.42 E13.38 », a été convertie en degrés décimaux numériques pour homogénéité avec les Phases 1 et 3.</t>
  </si>
  <si>
    <t xml:space="preserve">4. Hypothèse non confirmée : vous avez indiqué « le département proche du Moungo du Sud-Ouest » sans le nommer. Kupé-Manenguba est le département du Sud-Ouest directement limitrophe du Moungo, mais Meme (Kumba) reste une alternative géographiquement plausible. À confirmer avant diffusion officielle — un changement ici déplace environ 15 à 20 sites entre Nkongsamba et Limbé.</t>
  </si>
  <si>
    <t xml:space="preserve">5. Dimensionnement du personnel (feuille « Antennes — Détail solaire ») : chaque antenne reçoit un socle fixe de 2 postes (chef d'antenne + assistant administratif et financier), puis des ingénieurs techniques et des agents de développement communautaire au prorata du nombre de sites gérés (1 ingénieur / 25 sites, 1 agent communautaire / 30 sites — seuils modifiables en cellules N2:N3 de cette feuille, toute la feuille recalcule automatiquement). Cette règle est une proposition de départ, pas une norme validée par l'AER.</t>
  </si>
  <si>
    <t xml:space="preserve">B. Ressources humaines terrain — composition d'équipe et affectations (feuille « Données - Équipes »)</t>
  </si>
  <si>
    <t xml:space="preserve">1. Composition d'équipe appliquée : 1 Ingénieur + 2 Techniciens + 1 Chauffeur par zone, sur les 16 zones (y compris Siège Yaoundé), sans exception.</t>
  </si>
  <si>
    <t xml:space="preserve">2. Le profil de chaque agent est repris de son poste réel dans le fichier du personnel — pas du libellé de créneau (« Technicien 1 », etc.).</t>
  </si>
  <si>
    <t xml:space="preserve">2 bis. Règles de correspondance poste → profil confirmées par vous : « Agent de maîtrise » et « Employé » (cas de MBELE Ben Thierry, Antenne Sud - Centre zone 2) comptent comme Technicien ; « Chef service » et « Architecte » comptent comme Ingénieur.</t>
  </si>
  <si>
    <t xml:space="preserve">2 ter. Titres proches non couverts par votre règle, laissés en « Autre » par prudence (à confirmer si vous voulez les inclure) : « Chef d'Antenne » (NGUONAM Clement Tangjua, personnel non affecté) et les « Sous-Directeur » / « S/D » (postes de direction au Siège, personnel non affecté) — ce ne sont ni des « Chef service » ni des « Ingénieur » au sens strict du poste indiqué.</t>
  </si>
  <si>
    <t xml:space="preserve">3. « MBIPEF HAMZA NCHUHNYUI » (Annexe Nkongsamba, zone 2) n'a pas de poste renseigné ; il apparaît donc en personnel additionnel plutôt que dans une case Technicien.</t>
  </si>
  <si>
    <t xml:space="preserve">B bis. Correction du bug « STATUT DES 16 ÉQUIPES » et mise à jour à partir de votre fichier corrigé</t>
  </si>
  <si>
    <t xml:space="preserve">1. CAUSE DU BUG SIGNALÉ (grille entièrement à « — » sauf la colonne Ingénieur) : dans la feuille « Données - Équipes », l'antenne et la zone de chaque équipe ne sont inscrites qu'une seule fois, sur la première ligne du bloc (celle de l'Ingénieur) ; les lignes Technicien 1, Technicien 2 et Chauffeur qui suivent laissent ces deux colonnes vides. Une colonne technique masquée (« Antenne (rempli) ») recopiait déjà l'antenne sur toutes les lignes, mais aucune colonne équivalente n'existait pour la zone : la grille comparait donc la zone attendue à une cellule vide pour ces trois rôles, qui échouaient systématiquement, alors que l'Ingénieur (seule ligne où la zone est réellement inscrite) fonctionnait normalement. Corrigé en ajoutant une colonne technique masquée « Zone (rempli) » et en rebranchant les formules de la grille dessus.</t>
  </si>
  <si>
    <t xml:space="preserve">2. VOTRE FICHIER CORRIGÉ A ÉTÉ REPRIS COMME NOUVELLE SOURCE : ce tableau de bord régénère désormais l'intégralité de la feuille « Données - Équipes » et du tableau de bord à partir des corrections que vous aviez apportées à la main dans le fichier transmis, notamment : « WABILA Patrick » est maintenant identifié comme Technicien (poste renseigné) et occupe la case Technicien 1 de l'Antenne Nord-Ouest zone 1 ; orthographe corrigée « NOUMBISSI TEKEM HERMAN » (Nord-Ouest zone 3) ; « KANGA Wong Landry » et « ARNOLD Musumbe Nsoh Asanji », auparavant non affectés, occupent maintenant les postes d'Ingénieur du Siège Yaoundé zones 1 et 2.</t>
  </si>
  <si>
    <t xml:space="preserve">3. « HANSON Anyere » (Agent de maîtrise, Antenne Nord-Ouest zone 2) : la zone comptait déjà 1 Technicien affecté ; conformément à la règle des 2 Techniciens par équipe, il apparaît en personnel additionnel de cette zone plutôt que dans une 3ᵉ case Technicien (qui n'existe pas dans le modèle standard à 4 postes).</t>
  </si>
  <si>
    <t xml:space="preserve">4. Détection du texte « MANQUANT » rendue plus robuste : votre fichier comportait plusieurs variantes de mise en forme (« — MANQUANT — », « MANQUANT », « MANQUANT » avec espace en trop, etc.) ; toutes sont maintenant reconnues comme un poste vacant.</t>
  </si>
  <si>
    <t xml:space="preserve">5. Effectif non affecté recompté : 14 agents (et non 18 comme l'indiquait encore le titre de cette section dans votre fichier — probablement resté inchangé après que des personnes en aient été extraites pour être affectées à une zone). Sur ces 14 agents : 3 Ingénieurs, 3 Techniciens et 8 « Autre » (postes de direction, secrétariat, informatique — non rattachables aux 3 profils de terrain).</t>
  </si>
  <si>
    <t xml:space="preserve">6. Avec vos corrections, le total des manques sur les 16 équipes passe à 17 postes (contre 21 dans la version précédente) : 10 Ingénieur, 3 Technicien, 4 Chauffeur.</t>
  </si>
  <si>
    <t xml:space="preserve">7. « Cha4ffe4r » : ce nom ne figure plus dans le fichier transmis (la personne semble avoir été retirée ou renommée) ; il n'apparaît donc plus dans ce tableau de bord.</t>
  </si>
  <si>
    <t xml:space="preserve">C. Cohérence entre les deux référentiels d'antennes (point d'attention pour ce tableau de bord)</t>
  </si>
  <si>
    <t xml:space="preserve">Le réseau d'antennes du parc solaire (9 antennes nommées par ville : Bamenda, Limbé, Nkongsamba, Garoua, Maroua, Ngaoundéré, Siège Yaoundé, Bertoua, Ebolowa) et le réseau d'antennes du fichier RH (9 antennes nommées par région : Extrême-Nord, Nord, Nord-Ouest, Adamaoua, Est, Sud - Centre, Sud-Ouest, Nkongsamba, Siège Yaoundé) proviennent de deux fichiers distincts et suivent deux découpages géographiques différents, hérités de deux exercices de rattachement séparés.</t>
  </si>
  <si>
    <t xml:space="preserve">Rattachement régional du fichier RH (hypothèse géographique, à valider) : l'Antenne « Sud - Centre » couvre potentiellement deux régions administratives distinctes (Sud et Centre) sans que le fichier ne précise la répartition ; l'Annexe Sud-Ouest de Nkongsamba est rattachée administrativement à l'antenne Sud-Ouest mais se situe géographiquement dans la région du Littoral (département du Moungo).</t>
  </si>
  <si>
    <t xml:space="preserve">Conséquence pratique : les deux blocs du tableau de bord (« Parc solaire » et « Ressources humaines ») sont présentés côte à côte pour une vue d'ensemble, mais une antenne du bloc solaire ne correspond pas nécessairement à l'antenne de même zone géographique dans le bloc RH. Avant de fusionner ou de comparer directement une ligne « Nord-Ouest » solaire et une ligne « Nord-Ouest » RH par exemple, il conviendrait de faire valider par l'AER une table de correspondance unique entre les deux réseaux d'antennes.</t>
  </si>
  <si>
    <t xml:space="preserve">D. Options supplémentaires ajoutées à ce tableau de bord</t>
  </si>
  <si>
    <t xml:space="preserve">1. Colonne « Statut équipe » ajoutée à la grille des 16 équipes (feuille Dashboard) : classe chaque équipe en Complète (4 postes pourvus), Partielle (1 à 3 manques) ou Critique (aucun poste pourvu), avec mise en forme conditionnelle verte / ambre / rouge — pour repérer d'un coup d'œil les équipes les plus fragiles, pas seulement poste par poste.</t>
  </si>
  <si>
    <t xml:space="preserve">2. Table « PLAN D'ACTION PRIORITAIRE — RECRUTEMENT / REDÉPLOIEMENT » ajoutée sous la grille : classe les 16 équipes par nombre de postes manquants (la plus urgente en premier) et propose, pour chaque manque, soit un redéploiement depuis le personnel non affecté disponible au niveau national (avec le nombre réellement disponible), soit un recrutement externe si le vivier est épuisé — pour transformer le simple constat de manques en feuille de route d'action.</t>
  </si>
  <si>
    <t xml:space="preserve">3. Graphique donut « Taux de complétude des 16 équipes » ajouté (feuille Dashboard, section Visualisations) : vue d'ensemble en un coup d'œil de la part d'équipes Complètes / Partielles / Critiques.</t>
  </si>
  <si>
    <t xml:space="preserve">4. Le plan d'action et le graphique de complétude sont calculés à partir des mêmes données sources que le reste du tableau de bord au moment de la génération de ce fichier ; si vous modifiez à nouveau les affectations dans « Données - Équipes », redemandez une régénération pour que ce plan reste synchronisé (contrairement aux formules Excel natives du reste du tableau de bord, qui recalculent automatiquement).</t>
  </si>
  <si>
    <t xml:space="preserve">ÉQUILIBRE DE LA CHARGE ET DIMENSIONNEMENT DU PERSONNEL PAR ANTENNE</t>
  </si>
  <si>
    <t xml:space="preserve">PARAMÈTRES</t>
  </si>
  <si>
    <t xml:space="preserve">Règle de dimensionnement (modifiable en cellules N2:N4) : 1 chef d'antenne + 1 assistant administratif par antenne (fixe) ; 1 ingénieur technique par tranche de 25 sites (minimum 1) ; 1 agent de développement communautaire par tranche de 30 sites (minimum 1). Toutes les cellules d'effectif sont des formules — modifier les seuils en N2:N4 recalcule automatiquement l'ensemble.</t>
  </si>
  <si>
    <t xml:space="preserve">Sites par ingénieur technique</t>
  </si>
  <si>
    <t xml:space="preserve">Sites par agent communautaire</t>
  </si>
  <si>
    <t xml:space="preserve">Rattachée à</t>
  </si>
  <si>
    <t xml:space="preserve">Puissance totale (kWc)</t>
  </si>
  <si>
    <t xml:space="preserve">Chef + admin</t>
  </si>
  <si>
    <t xml:space="preserve">Ingénieurs techniques</t>
  </si>
  <si>
    <t xml:space="preserve">Agents communautaires</t>
  </si>
  <si>
    <t xml:space="preserve">Effectif total</t>
  </si>
  <si>
    <t xml:space="preserve">Sites par agent</t>
  </si>
  <si>
    <t xml:space="preserve">% du total sites</t>
  </si>
  <si>
    <t xml:space="preserve">% de la puissance totale</t>
  </si>
  <si>
    <t xml:space="preserve">Littoral (hors Moungo), Sud-Ouest (hors Kupé-Manenguba)</t>
  </si>
  <si>
    <t xml:space="preserve">Centre — reste (Lekié, Mbam-et-Inoubou, Mbam-et-Kim, Mefou-et-Afamba, Mefou-et-Akono)</t>
  </si>
  <si>
    <t xml:space="preserve">VUE PAR GROUPE (antenne principale + ses annexes)</t>
  </si>
  <si>
    <t xml:space="preserve">Groupe</t>
  </si>
  <si>
    <t xml:space="preserve">Nb sites (groupe)</t>
  </si>
  <si>
    <t xml:space="preserve">Puissance (kWc, groupe)</t>
  </si>
  <si>
    <t xml:space="preserve">Effectif (groupe)</t>
  </si>
  <si>
    <t xml:space="preserve">CONSTAT</t>
  </si>
  <si>
    <t xml:space="preserve">Structure hiérarchique à 4 antennes principales (Bamenda, Limbé, Garoua, Siège Yaoundé) et 5 annexes (Nkongsamba, Maroua, Ngaoundéré, Bertoua, Ebolowa). Les 499 sites sont intégralement couverts. L'effectif total se calcule automatiquement en colonne J — voir l'onglet Organigramme pour la représentation hiérarchique.</t>
  </si>
  <si>
    <t xml:space="preserve">Hypothèse à confirmer : le département de Kupé-Manenguba (Sud-Ouest) a été rattaché à Nkongsamba comme « département proche du Moungo » — Meme (Kumba) reste une alternative possible si votre intention était différente.</t>
  </si>
  <si>
    <t xml:space="preserve">RÉPARTITION DES 499 SITES PAR ANTENNE PROPOSÉE</t>
  </si>
  <si>
    <t xml:space="preserve">Répartition transmise par l'AER (7 antennes + 1siege + 1 annexe)</t>
  </si>
  <si>
    <t xml:space="preserve">Antenne proposée</t>
  </si>
  <si>
    <t xml:space="preserve">Région</t>
  </si>
  <si>
    <t xml:space="preserve">Département</t>
  </si>
  <si>
    <t xml:space="preserve">Nom du site</t>
  </si>
  <si>
    <t xml:space="preserve">Phase</t>
  </si>
  <si>
    <t xml:space="preserve">Boyo</t>
  </si>
  <si>
    <t xml:space="preserve">Baiso</t>
  </si>
  <si>
    <t xml:space="preserve">Phase 3</t>
  </si>
  <si>
    <t xml:space="preserve">Bua Bua</t>
  </si>
  <si>
    <t xml:space="preserve">Phase 1</t>
  </si>
  <si>
    <t xml:space="preserve">Ekwijua</t>
  </si>
  <si>
    <t xml:space="preserve">Fonfuka</t>
  </si>
  <si>
    <t xml:space="preserve">Kimbi</t>
  </si>
  <si>
    <t xml:space="preserve">Mejang</t>
  </si>
  <si>
    <t xml:space="preserve">Nbueni</t>
  </si>
  <si>
    <t xml:space="preserve">Bui</t>
  </si>
  <si>
    <t xml:space="preserve">Ndzevru</t>
  </si>
  <si>
    <t xml:space="preserve">Ngashie</t>
  </si>
  <si>
    <t xml:space="preserve">Ngendzen</t>
  </si>
  <si>
    <t xml:space="preserve">Sarkir</t>
  </si>
  <si>
    <t xml:space="preserve">Donga-Mantung</t>
  </si>
  <si>
    <t xml:space="preserve">Akwenko</t>
  </si>
  <si>
    <t xml:space="preserve">Phase 2</t>
  </si>
  <si>
    <t xml:space="preserve">Akweto</t>
  </si>
  <si>
    <t xml:space="preserve">Kandji-Chunghe</t>
  </si>
  <si>
    <t xml:space="preserve">Lih-kop</t>
  </si>
  <si>
    <t xml:space="preserve">Mbanje-Njap</t>
  </si>
  <si>
    <t xml:space="preserve">Njagon-Bibuh (Tabenkeng)</t>
  </si>
  <si>
    <t xml:space="preserve">Njap</t>
  </si>
  <si>
    <t xml:space="preserve">Ntfumbe-Ngotong</t>
  </si>
  <si>
    <t xml:space="preserve">Menchum</t>
  </si>
  <si>
    <t xml:space="preserve">Bu</t>
  </si>
  <si>
    <t xml:space="preserve">Kendogho-Esu</t>
  </si>
  <si>
    <t xml:space="preserve">Upkwa</t>
  </si>
  <si>
    <t xml:space="preserve">Mezam</t>
  </si>
  <si>
    <t xml:space="preserve">Mudum-Belu</t>
  </si>
  <si>
    <t xml:space="preserve">Njimuyaa</t>
  </si>
  <si>
    <t xml:space="preserve">Momo</t>
  </si>
  <si>
    <t xml:space="preserve">Andek</t>
  </si>
  <si>
    <t xml:space="preserve">Beiban-Bereje</t>
  </si>
  <si>
    <t xml:space="preserve">Bessi</t>
  </si>
  <si>
    <t xml:space="preserve">Bessi-Fomukong</t>
  </si>
  <si>
    <t xml:space="preserve">Bonanyamg</t>
  </si>
  <si>
    <t xml:space="preserve">Fringyen</t>
  </si>
  <si>
    <t xml:space="preserve">Kugwe</t>
  </si>
  <si>
    <t xml:space="preserve">Munam</t>
  </si>
  <si>
    <t xml:space="preserve">Ngwo</t>
  </si>
  <si>
    <t xml:space="preserve">Njikwa</t>
  </si>
  <si>
    <t xml:space="preserve">Nyebai Oshie</t>
  </si>
  <si>
    <t xml:space="preserve">Teze</t>
  </si>
  <si>
    <t xml:space="preserve">Tinekoh-Ngie</t>
  </si>
  <si>
    <t xml:space="preserve">Ngoketunjia</t>
  </si>
  <si>
    <t xml:space="preserve">Baba 1</t>
  </si>
  <si>
    <t xml:space="preserve">Babessi</t>
  </si>
  <si>
    <t xml:space="preserve">Bamessing (Ndop)</t>
  </si>
  <si>
    <t xml:space="preserve">Ouest</t>
  </si>
  <si>
    <t xml:space="preserve">Bamboutos</t>
  </si>
  <si>
    <t xml:space="preserve">Bamboue 2</t>
  </si>
  <si>
    <t xml:space="preserve">Bamela</t>
  </si>
  <si>
    <t xml:space="preserve">Batoula-Bamenghui</t>
  </si>
  <si>
    <t xml:space="preserve">Menfoung</t>
  </si>
  <si>
    <t xml:space="preserve">Haut Nkam</t>
  </si>
  <si>
    <t xml:space="preserve">Bekambe</t>
  </si>
  <si>
    <t xml:space="preserve">Fondjomekwet</t>
  </si>
  <si>
    <t xml:space="preserve">Haut-Nkam</t>
  </si>
  <si>
    <t xml:space="preserve">Baboutcheu-Ngaleu</t>
  </si>
  <si>
    <t xml:space="preserve">Menoua</t>
  </si>
  <si>
    <t xml:space="preserve">Badjilie</t>
  </si>
  <si>
    <t xml:space="preserve">Belekwet Chefferie</t>
  </si>
  <si>
    <t xml:space="preserve">Fotemo</t>
  </si>
  <si>
    <t xml:space="preserve">Mankang-Mayong</t>
  </si>
  <si>
    <t xml:space="preserve">Nzalla</t>
  </si>
  <si>
    <t xml:space="preserve">Tsah-Bamendou</t>
  </si>
  <si>
    <t xml:space="preserve">Nde</t>
  </si>
  <si>
    <t xml:space="preserve">Bagnoun</t>
  </si>
  <si>
    <t xml:space="preserve">Noun</t>
  </si>
  <si>
    <t xml:space="preserve">Feuguimbou (Nfenguembou)</t>
  </si>
  <si>
    <t xml:space="preserve">Koula-Manchoutvi</t>
  </si>
  <si>
    <t xml:space="preserve">Koutoumbain-Njingbamongom</t>
  </si>
  <si>
    <t xml:space="preserve">Machatoum</t>
  </si>
  <si>
    <t xml:space="preserve">Makoup</t>
  </si>
  <si>
    <t xml:space="preserve">Makoutam-Plateau</t>
  </si>
  <si>
    <t xml:space="preserve">Makpa</t>
  </si>
  <si>
    <t xml:space="preserve">Makpa I</t>
  </si>
  <si>
    <t xml:space="preserve">Mamechi</t>
  </si>
  <si>
    <t xml:space="preserve">Mamegnam-Njitoum</t>
  </si>
  <si>
    <t xml:space="preserve">Mangourain (Nkouombi)</t>
  </si>
  <si>
    <t xml:space="preserve">Manje Magnit</t>
  </si>
  <si>
    <t xml:space="preserve">Mankouombi</t>
  </si>
  <si>
    <t xml:space="preserve">Mankoutbou (Mankoutmbou 1)</t>
  </si>
  <si>
    <t xml:space="preserve">Mantchoutbi</t>
  </si>
  <si>
    <t xml:space="preserve">Mantoum-Magajah/Njika</t>
  </si>
  <si>
    <t xml:space="preserve">Marah</t>
  </si>
  <si>
    <t xml:space="preserve">Matiapon</t>
  </si>
  <si>
    <t xml:space="preserve">Mayoh (Njitoukwet)</t>
  </si>
  <si>
    <t xml:space="preserve">Mbakop</t>
  </si>
  <si>
    <t xml:space="preserve">Ngouodem-Mapassen</t>
  </si>
  <si>
    <t xml:space="preserve">Njigbachouh</t>
  </si>
  <si>
    <t xml:space="preserve">Njigbamafou</t>
  </si>
  <si>
    <t xml:space="preserve">Njinga-Ndoutain</t>
  </si>
  <si>
    <t xml:space="preserve">Njissain</t>
  </si>
  <si>
    <t xml:space="preserve">Centre</t>
  </si>
  <si>
    <t xml:space="preserve">Haute-Sanaga</t>
  </si>
  <si>
    <t xml:space="preserve">Amak I-Banque</t>
  </si>
  <si>
    <t xml:space="preserve">Bana-Ondom Chefferie</t>
  </si>
  <si>
    <t xml:space="preserve">Biboa-Yessomba</t>
  </si>
  <si>
    <t xml:space="preserve">Chefferie Groupement Biboa</t>
  </si>
  <si>
    <t xml:space="preserve">Dea</t>
  </si>
  <si>
    <t xml:space="preserve">Ebanga</t>
  </si>
  <si>
    <t xml:space="preserve">Ebolboumou (chefferie)</t>
  </si>
  <si>
    <t xml:space="preserve">Ekak (Minta)</t>
  </si>
  <si>
    <t xml:space="preserve">Emtse</t>
  </si>
  <si>
    <t xml:space="preserve">Lembe Yezoum</t>
  </si>
  <si>
    <t xml:space="preserve">Lembe-Badja</t>
  </si>
  <si>
    <t xml:space="preserve">Mbomedjock</t>
  </si>
  <si>
    <t xml:space="preserve">Nguinda 1</t>
  </si>
  <si>
    <t xml:space="preserve">Nkobiba</t>
  </si>
  <si>
    <t xml:space="preserve">Nsem</t>
  </si>
  <si>
    <t xml:space="preserve">Nsimbane</t>
  </si>
  <si>
    <t xml:space="preserve">Nyong-et-Mfoumou</t>
  </si>
  <si>
    <t xml:space="preserve">Akame-Engali</t>
  </si>
  <si>
    <t xml:space="preserve">Mekong sso</t>
  </si>
  <si>
    <t xml:space="preserve">Tombo</t>
  </si>
  <si>
    <t xml:space="preserve">Belabo</t>
  </si>
  <si>
    <t xml:space="preserve">Woutchaba</t>
  </si>
  <si>
    <t xml:space="preserve">Boumba-et-Ngoko</t>
  </si>
  <si>
    <t xml:space="preserve">Gari-Gombo</t>
  </si>
  <si>
    <t xml:space="preserve">Lamedoum</t>
  </si>
  <si>
    <t xml:space="preserve">Mendoungue-Ville</t>
  </si>
  <si>
    <t xml:space="preserve">Mikel</t>
  </si>
  <si>
    <t xml:space="preserve">Ntombi</t>
  </si>
  <si>
    <t xml:space="preserve">Yenga</t>
  </si>
  <si>
    <t xml:space="preserve">Haut-Nyong</t>
  </si>
  <si>
    <t xml:space="preserve">Ankoua Bouomb</t>
  </si>
  <si>
    <t xml:space="preserve">Bagofit-Bindanang</t>
  </si>
  <si>
    <t xml:space="preserve">Bapile Njondila</t>
  </si>
  <si>
    <t xml:space="preserve">Bayong 2</t>
  </si>
  <si>
    <t xml:space="preserve">Djaposten</t>
  </si>
  <si>
    <t xml:space="preserve">Djeunou II</t>
  </si>
  <si>
    <t xml:space="preserve">Doumaintang</t>
  </si>
  <si>
    <t xml:space="preserve">Esseng</t>
  </si>
  <si>
    <t xml:space="preserve">Gola</t>
  </si>
  <si>
    <t xml:space="preserve">Grand Pol</t>
  </si>
  <si>
    <t xml:space="preserve">Makok</t>
  </si>
  <si>
    <t xml:space="preserve">Messok Centre</t>
  </si>
  <si>
    <t xml:space="preserve">Mindourou</t>
  </si>
  <si>
    <t xml:space="preserve">Mpalampouam</t>
  </si>
  <si>
    <t xml:space="preserve">Mtimbe</t>
  </si>
  <si>
    <t xml:space="preserve">Ngomdouma</t>
  </si>
  <si>
    <t xml:space="preserve">Ngoulmakong</t>
  </si>
  <si>
    <t xml:space="preserve">Nkaoule</t>
  </si>
  <si>
    <t xml:space="preserve">Nkongsimbang 2</t>
  </si>
  <si>
    <t xml:space="preserve">Ntam</t>
  </si>
  <si>
    <t xml:space="preserve">Souombo-Nyimbe</t>
  </si>
  <si>
    <t xml:space="preserve">Kadey</t>
  </si>
  <si>
    <t xml:space="preserve">Bidjombo</t>
  </si>
  <si>
    <t xml:space="preserve">Gbiti</t>
  </si>
  <si>
    <t xml:space="preserve">Kenzou</t>
  </si>
  <si>
    <t xml:space="preserve">Kette</t>
  </si>
  <si>
    <t xml:space="preserve">Mbang</t>
  </si>
  <si>
    <t xml:space="preserve">Mindourou-Mboa</t>
  </si>
  <si>
    <t xml:space="preserve">Ndelele</t>
  </si>
  <si>
    <t xml:space="preserve">Ngotto</t>
  </si>
  <si>
    <t xml:space="preserve">Nguelebok</t>
  </si>
  <si>
    <t xml:space="preserve">Lom-et-Djérem</t>
  </si>
  <si>
    <t xml:space="preserve">Aboumadjali 2</t>
  </si>
  <si>
    <t xml:space="preserve">Bongo</t>
  </si>
  <si>
    <t xml:space="preserve">Borongo</t>
  </si>
  <si>
    <t xml:space="preserve">Bouli</t>
  </si>
  <si>
    <t xml:space="preserve">Mbang 2</t>
  </si>
  <si>
    <t xml:space="preserve">Mbitom</t>
  </si>
  <si>
    <t xml:space="preserve">Mbodomo-Issa</t>
  </si>
  <si>
    <t xml:space="preserve">Ndokayo</t>
  </si>
  <si>
    <t xml:space="preserve">Ndokayo II</t>
  </si>
  <si>
    <t xml:space="preserve">Ndondi</t>
  </si>
  <si>
    <t xml:space="preserve">Ngoe Ngoe</t>
  </si>
  <si>
    <t xml:space="preserve">Ngoura</t>
  </si>
  <si>
    <t xml:space="preserve">Nyong-et-So'o</t>
  </si>
  <si>
    <t xml:space="preserve">Abang Betsenga</t>
  </si>
  <si>
    <t xml:space="preserve">Ekingili</t>
  </si>
  <si>
    <t xml:space="preserve">Koumassi</t>
  </si>
  <si>
    <t xml:space="preserve">Mtibt Mono</t>
  </si>
  <si>
    <t xml:space="preserve">Nkoeyen</t>
  </si>
  <si>
    <t xml:space="preserve">Nkolebae</t>
  </si>
  <si>
    <t xml:space="preserve">Sud</t>
  </si>
  <si>
    <t xml:space="preserve">Dja-et-Lobo</t>
  </si>
  <si>
    <t xml:space="preserve">Bengbis II</t>
  </si>
  <si>
    <t xml:space="preserve">Biboulemam</t>
  </si>
  <si>
    <t xml:space="preserve">Bindom</t>
  </si>
  <si>
    <t xml:space="preserve">Bindoumba</t>
  </si>
  <si>
    <t xml:space="preserve">Bisson (Essong)</t>
  </si>
  <si>
    <t xml:space="preserve">Kam-Evindissi-Nkolmekae</t>
  </si>
  <si>
    <t xml:space="preserve">Mbout-Ikong 1</t>
  </si>
  <si>
    <t xml:space="preserve">MeYomessi</t>
  </si>
  <si>
    <t xml:space="preserve">Mefoup</t>
  </si>
  <si>
    <t xml:space="preserve">Mekotto</t>
  </si>
  <si>
    <t xml:space="preserve">Messeng-Ewot</t>
  </si>
  <si>
    <t xml:space="preserve">Meyos Yemvam</t>
  </si>
  <si>
    <t xml:space="preserve">Mintom</t>
  </si>
  <si>
    <t xml:space="preserve">Ndja</t>
  </si>
  <si>
    <t xml:space="preserve">Ndonkol</t>
  </si>
  <si>
    <t xml:space="preserve">Nkilzock</t>
  </si>
  <si>
    <t xml:space="preserve">Nkolfong</t>
  </si>
  <si>
    <t xml:space="preserve">Onon</t>
  </si>
  <si>
    <t xml:space="preserve">Oveng</t>
  </si>
  <si>
    <t xml:space="preserve">Oveng III</t>
  </si>
  <si>
    <t xml:space="preserve">Zoebefam</t>
  </si>
  <si>
    <t xml:space="preserve">Zoulabot</t>
  </si>
  <si>
    <t xml:space="preserve">Mvila</t>
  </si>
  <si>
    <t xml:space="preserve">Ato'oveng</t>
  </si>
  <si>
    <t xml:space="preserve">Bikpwae-Yeminsem</t>
  </si>
  <si>
    <t xml:space="preserve">Bongolo</t>
  </si>
  <si>
    <t xml:space="preserve">Eboulboum</t>
  </si>
  <si>
    <t xml:space="preserve">Enyeng</t>
  </si>
  <si>
    <t xml:space="preserve">Kouma</t>
  </si>
  <si>
    <t xml:space="preserve">Mekomo</t>
  </si>
  <si>
    <t xml:space="preserve">Mevous</t>
  </si>
  <si>
    <t xml:space="preserve">Mvong</t>
  </si>
  <si>
    <t xml:space="preserve">Mvoula and Nsilang</t>
  </si>
  <si>
    <t xml:space="preserve">Ngoekelle</t>
  </si>
  <si>
    <t xml:space="preserve">Nkoladom</t>
  </si>
  <si>
    <t xml:space="preserve">Nloupessa</t>
  </si>
  <si>
    <t xml:space="preserve">Nloupessa Yevol</t>
  </si>
  <si>
    <t xml:space="preserve">Nselang-Chefferie</t>
  </si>
  <si>
    <t xml:space="preserve">Obang 2</t>
  </si>
  <si>
    <t xml:space="preserve">Ofoumbi</t>
  </si>
  <si>
    <t xml:space="preserve">Vema</t>
  </si>
  <si>
    <t xml:space="preserve">Ocean</t>
  </si>
  <si>
    <t xml:space="preserve">Atog-Boga</t>
  </si>
  <si>
    <t xml:space="preserve">Bibia Lolordof</t>
  </si>
  <si>
    <t xml:space="preserve">Bifoum</t>
  </si>
  <si>
    <t xml:space="preserve">Ebimimbang</t>
  </si>
  <si>
    <t xml:space="preserve">Grand Zambi</t>
  </si>
  <si>
    <t xml:space="preserve">Mangouma</t>
  </si>
  <si>
    <t xml:space="preserve">Melondo</t>
  </si>
  <si>
    <t xml:space="preserve">Océan</t>
  </si>
  <si>
    <t xml:space="preserve">Bidjouka</t>
  </si>
  <si>
    <t xml:space="preserve">Dikobe</t>
  </si>
  <si>
    <t xml:space="preserve">Doun Essamendjong</t>
  </si>
  <si>
    <t xml:space="preserve">Edougangomo</t>
  </si>
  <si>
    <t xml:space="preserve">Mbikiliki</t>
  </si>
  <si>
    <t xml:space="preserve">Melen</t>
  </si>
  <si>
    <t xml:space="preserve">Melombo</t>
  </si>
  <si>
    <t xml:space="preserve">Nkolmoto (Mbedoun-Ndang)</t>
  </si>
  <si>
    <t xml:space="preserve">Nsola Ayene</t>
  </si>
  <si>
    <t xml:space="preserve">Tyango</t>
  </si>
  <si>
    <t xml:space="preserve">Vallée-du-Ntem</t>
  </si>
  <si>
    <t xml:space="preserve">Abang-Minko</t>
  </si>
  <si>
    <t xml:space="preserve">Meyo Biboulou</t>
  </si>
  <si>
    <t xml:space="preserve">Nkan</t>
  </si>
  <si>
    <t xml:space="preserve">Nkoelella</t>
  </si>
  <si>
    <t xml:space="preserve">Benoue</t>
  </si>
  <si>
    <t xml:space="preserve">Badamkali</t>
  </si>
  <si>
    <t xml:space="preserve">Badjengo</t>
  </si>
  <si>
    <t xml:space="preserve">Badjouma Radier</t>
  </si>
  <si>
    <t xml:space="preserve">Boula-Ibbi</t>
  </si>
  <si>
    <t xml:space="preserve">Gouna</t>
  </si>
  <si>
    <t xml:space="preserve">Loumbou</t>
  </si>
  <si>
    <t xml:space="preserve">Mayo-Lope</t>
  </si>
  <si>
    <t xml:space="preserve">Ouro-Bocki (Mayo Bocki)</t>
  </si>
  <si>
    <t xml:space="preserve">Padarme</t>
  </si>
  <si>
    <t xml:space="preserve">Ram</t>
  </si>
  <si>
    <t xml:space="preserve">Benoué</t>
  </si>
  <si>
    <t xml:space="preserve">Hamalade</t>
  </si>
  <si>
    <t xml:space="preserve">Korkae</t>
  </si>
  <si>
    <t xml:space="preserve">Faro</t>
  </si>
  <si>
    <t xml:space="preserve">Fignole-Gode</t>
  </si>
  <si>
    <t xml:space="preserve">Gare-Gombo</t>
  </si>
  <si>
    <t xml:space="preserve">Kourtesse</t>
  </si>
  <si>
    <t xml:space="preserve">Tchamba (North)</t>
  </si>
  <si>
    <t xml:space="preserve">Wate</t>
  </si>
  <si>
    <t xml:space="preserve">Mayo rey</t>
  </si>
  <si>
    <t xml:space="preserve">Djemadjou</t>
  </si>
  <si>
    <t xml:space="preserve">Guidjiba</t>
  </si>
  <si>
    <t xml:space="preserve">Mbai-Mboum</t>
  </si>
  <si>
    <t xml:space="preserve">Mbaka</t>
  </si>
  <si>
    <t xml:space="preserve">Mayo-Louti</t>
  </si>
  <si>
    <t xml:space="preserve">Badjabouri</t>
  </si>
  <si>
    <t xml:space="preserve">Biou</t>
  </si>
  <si>
    <t xml:space="preserve">Djabi</t>
  </si>
  <si>
    <t xml:space="preserve">Doumo</t>
  </si>
  <si>
    <t xml:space="preserve">Gorges de kola</t>
  </si>
  <si>
    <t xml:space="preserve">Libe</t>
  </si>
  <si>
    <t xml:space="preserve">Matafal</t>
  </si>
  <si>
    <t xml:space="preserve">Mousgoy</t>
  </si>
  <si>
    <t xml:space="preserve">Tchekalgolombe</t>
  </si>
  <si>
    <t xml:space="preserve">Mayo-Rey</t>
  </si>
  <si>
    <t xml:space="preserve">Baikwa</t>
  </si>
  <si>
    <t xml:space="preserve">Beka</t>
  </si>
  <si>
    <t xml:space="preserve">Campement Buffle-Noir</t>
  </si>
  <si>
    <t xml:space="preserve">Djaba</t>
  </si>
  <si>
    <t xml:space="preserve">Dogba</t>
  </si>
  <si>
    <t xml:space="preserve">Gamba</t>
  </si>
  <si>
    <t xml:space="preserve">Gor</t>
  </si>
  <si>
    <t xml:space="preserve">Koinderi</t>
  </si>
  <si>
    <t xml:space="preserve">Madingring</t>
  </si>
  <si>
    <t xml:space="preserve">Mayo Salah</t>
  </si>
  <si>
    <t xml:space="preserve">Mbang Rey</t>
  </si>
  <si>
    <t xml:space="preserve">Mombare</t>
  </si>
  <si>
    <t xml:space="preserve">Pand-Jama</t>
  </si>
  <si>
    <t xml:space="preserve">Rey Bouba</t>
  </si>
  <si>
    <t xml:space="preserve">Sakdje</t>
  </si>
  <si>
    <t xml:space="preserve">Vogzom</t>
  </si>
  <si>
    <t xml:space="preserve">Littoral</t>
  </si>
  <si>
    <t xml:space="preserve">Nkam</t>
  </si>
  <si>
    <t xml:space="preserve">Bandem</t>
  </si>
  <si>
    <t xml:space="preserve">Benga</t>
  </si>
  <si>
    <t xml:space="preserve">Bonanyamsi Bodiman</t>
  </si>
  <si>
    <t xml:space="preserve">Bonjo-Bonepea</t>
  </si>
  <si>
    <t xml:space="preserve">Bwene</t>
  </si>
  <si>
    <t xml:space="preserve">Log-Ndeng</t>
  </si>
  <si>
    <t xml:space="preserve">Madip</t>
  </si>
  <si>
    <t xml:space="preserve">Ndog Penda</t>
  </si>
  <si>
    <t xml:space="preserve">Siga bonjo</t>
  </si>
  <si>
    <t xml:space="preserve">Yingui</t>
  </si>
  <si>
    <t xml:space="preserve">Sanaga-Maritime</t>
  </si>
  <si>
    <t xml:space="preserve">Abbe (Yassoukou)</t>
  </si>
  <si>
    <t xml:space="preserve">Dienc-Honambassi-Bonekoule</t>
  </si>
  <si>
    <t xml:space="preserve">Digombi</t>
  </si>
  <si>
    <t xml:space="preserve">Dikous</t>
  </si>
  <si>
    <t xml:space="preserve">Ebombe (Ebombe 2)</t>
  </si>
  <si>
    <t xml:space="preserve">Ibaikak</t>
  </si>
  <si>
    <t xml:space="preserve">Log Igaya (Log Iyaga)</t>
  </si>
  <si>
    <t xml:space="preserve">Marienberg</t>
  </si>
  <si>
    <t xml:space="preserve">Mayamba</t>
  </si>
  <si>
    <t xml:space="preserve">Mbamble</t>
  </si>
  <si>
    <t xml:space="preserve">Mbengue</t>
  </si>
  <si>
    <t xml:space="preserve">Mbougue</t>
  </si>
  <si>
    <t xml:space="preserve">Ndokog</t>
  </si>
  <si>
    <t xml:space="preserve">Ngog-Mbog</t>
  </si>
  <si>
    <t xml:space="preserve">Nguimbong</t>
  </si>
  <si>
    <t xml:space="preserve">Ninje</t>
  </si>
  <si>
    <t xml:space="preserve">Njock-Loumbe</t>
  </si>
  <si>
    <t xml:space="preserve">Nkom</t>
  </si>
  <si>
    <t xml:space="preserve">Onna</t>
  </si>
  <si>
    <t xml:space="preserve">Pendjock</t>
  </si>
  <si>
    <t xml:space="preserve">Seppe</t>
  </si>
  <si>
    <t xml:space="preserve">Song Jem</t>
  </si>
  <si>
    <t xml:space="preserve">Yadibo</t>
  </si>
  <si>
    <t xml:space="preserve">Wouri</t>
  </si>
  <si>
    <t xml:space="preserve">Ile de Djebale</t>
  </si>
  <si>
    <t xml:space="preserve">Fako</t>
  </si>
  <si>
    <t xml:space="preserve">Bonabeanga-Nwamoki</t>
  </si>
  <si>
    <t xml:space="preserve">Lebialem</t>
  </si>
  <si>
    <t xml:space="preserve">Njoagwi-Fotabong III</t>
  </si>
  <si>
    <t xml:space="preserve">Manyu</t>
  </si>
  <si>
    <t xml:space="preserve">Bakem</t>
  </si>
  <si>
    <t xml:space="preserve">Bombe</t>
  </si>
  <si>
    <t xml:space="preserve">Ekpor</t>
  </si>
  <si>
    <t xml:space="preserve">Okpambe</t>
  </si>
  <si>
    <t xml:space="preserve">Meme</t>
  </si>
  <si>
    <t xml:space="preserve">Koba</t>
  </si>
  <si>
    <t xml:space="preserve">Mofako</t>
  </si>
  <si>
    <t xml:space="preserve">Ndian</t>
  </si>
  <si>
    <t xml:space="preserve">Bekora</t>
  </si>
  <si>
    <t xml:space="preserve">Boa-Balondo</t>
  </si>
  <si>
    <t xml:space="preserve">Bweme-Mobengue</t>
  </si>
  <si>
    <t xml:space="preserve">Ikoti</t>
  </si>
  <si>
    <t xml:space="preserve">Ilor-Balondo</t>
  </si>
  <si>
    <t xml:space="preserve">Isangelle (Oron-Bateka-Amoutou)</t>
  </si>
  <si>
    <t xml:space="preserve">Lobe Town</t>
  </si>
  <si>
    <t xml:space="preserve">Meagwe II</t>
  </si>
  <si>
    <t xml:space="preserve">Diamare</t>
  </si>
  <si>
    <t xml:space="preserve">Bankara</t>
  </si>
  <si>
    <t xml:space="preserve">Baouli</t>
  </si>
  <si>
    <t xml:space="preserve">Dagaï-Kola</t>
  </si>
  <si>
    <t xml:space="preserve">Fadare</t>
  </si>
  <si>
    <t xml:space="preserve">Ouro-Zangui</t>
  </si>
  <si>
    <t xml:space="preserve">Logone-et-Chari</t>
  </si>
  <si>
    <t xml:space="preserve">Kadam</t>
  </si>
  <si>
    <t xml:space="preserve">Mayo-Danay</t>
  </si>
  <si>
    <t xml:space="preserve">Bounai Ecole</t>
  </si>
  <si>
    <t xml:space="preserve">Datcheka</t>
  </si>
  <si>
    <t xml:space="preserve">Doukouroy</t>
  </si>
  <si>
    <t xml:space="preserve">Gaoyanga</t>
  </si>
  <si>
    <t xml:space="preserve">Goua</t>
  </si>
  <si>
    <t xml:space="preserve">Guidinding</t>
  </si>
  <si>
    <t xml:space="preserve">Saoringwa</t>
  </si>
  <si>
    <t xml:space="preserve">Vlan Maissou</t>
  </si>
  <si>
    <t xml:space="preserve">Mayo-Kani</t>
  </si>
  <si>
    <t xml:space="preserve">Broui</t>
  </si>
  <si>
    <t xml:space="preserve">Dziguilao</t>
  </si>
  <si>
    <t xml:space="preserve">Gadas 17</t>
  </si>
  <si>
    <t xml:space="preserve">Golondakri</t>
  </si>
  <si>
    <t xml:space="preserve">Goubara</t>
  </si>
  <si>
    <t xml:space="preserve">Horlong</t>
  </si>
  <si>
    <t xml:space="preserve">Loubou (Noubou)</t>
  </si>
  <si>
    <t xml:space="preserve">Mbitou</t>
  </si>
  <si>
    <t xml:space="preserve">Mbrodong</t>
  </si>
  <si>
    <t xml:space="preserve">Wibiwa</t>
  </si>
  <si>
    <t xml:space="preserve">Mayo-Sava</t>
  </si>
  <si>
    <t xml:space="preserve">Digaya</t>
  </si>
  <si>
    <t xml:space="preserve">Kotserehe (Canton Zouelva)</t>
  </si>
  <si>
    <t xml:space="preserve">Mada-Kolkoch</t>
  </si>
  <si>
    <t xml:space="preserve">Mbidimi</t>
  </si>
  <si>
    <t xml:space="preserve">Noudouvaya</t>
  </si>
  <si>
    <t xml:space="preserve">Mayo-Tsanaga</t>
  </si>
  <si>
    <t xml:space="preserve">Boula</t>
  </si>
  <si>
    <t xml:space="preserve">Douvar</t>
  </si>
  <si>
    <t xml:space="preserve">Medere</t>
  </si>
  <si>
    <t xml:space="preserve">Nguetchewe</t>
  </si>
  <si>
    <t xml:space="preserve">Tourou</t>
  </si>
  <si>
    <t xml:space="preserve">Djerem</t>
  </si>
  <si>
    <t xml:space="preserve">Daber</t>
  </si>
  <si>
    <t xml:space="preserve">Danfili</t>
  </si>
  <si>
    <t xml:space="preserve">Mbamti-Katarko</t>
  </si>
  <si>
    <t xml:space="preserve">Mbella Assom</t>
  </si>
  <si>
    <t xml:space="preserve">Minam</t>
  </si>
  <si>
    <t xml:space="preserve">Tongo</t>
  </si>
  <si>
    <t xml:space="preserve">Faro-et-Déo</t>
  </si>
  <si>
    <t xml:space="preserve">Alme</t>
  </si>
  <si>
    <t xml:space="preserve">Doualayel</t>
  </si>
  <si>
    <t xml:space="preserve">Gadamayo</t>
  </si>
  <si>
    <t xml:space="preserve">Galim-Tignere</t>
  </si>
  <si>
    <t xml:space="preserve">Gasanget</t>
  </si>
  <si>
    <t xml:space="preserve">Libong</t>
  </si>
  <si>
    <t xml:space="preserve">Lompta</t>
  </si>
  <si>
    <t xml:space="preserve">Mayo-Baleo</t>
  </si>
  <si>
    <t xml:space="preserve">Mayo-Banyo</t>
  </si>
  <si>
    <t xml:space="preserve">Allat</t>
  </si>
  <si>
    <t xml:space="preserve">Atta</t>
  </si>
  <si>
    <t xml:space="preserve">Boudjounkoura</t>
  </si>
  <si>
    <t xml:space="preserve">Kongui-Ndu</t>
  </si>
  <si>
    <t xml:space="preserve">Kouroum</t>
  </si>
  <si>
    <t xml:space="preserve">Lingam</t>
  </si>
  <si>
    <t xml:space="preserve">Mayo Darle</t>
  </si>
  <si>
    <t xml:space="preserve">Mayo-Darle II</t>
  </si>
  <si>
    <t xml:space="preserve">Mayo-Djinga</t>
  </si>
  <si>
    <t xml:space="preserve">Mayo-Kelele Less</t>
  </si>
  <si>
    <t xml:space="preserve">Mbamti-Djoumbare</t>
  </si>
  <si>
    <t xml:space="preserve">Nditem</t>
  </si>
  <si>
    <t xml:space="preserve">Nyakong</t>
  </si>
  <si>
    <t xml:space="preserve">Oumayari</t>
  </si>
  <si>
    <t xml:space="preserve">Ribao</t>
  </si>
  <si>
    <t xml:space="preserve">Sambo-Labo</t>
  </si>
  <si>
    <t xml:space="preserve">Sarki-Baka-Terloo</t>
  </si>
  <si>
    <t xml:space="preserve">Somie</t>
  </si>
  <si>
    <t xml:space="preserve">Songkolong</t>
  </si>
  <si>
    <t xml:space="preserve">Tchamba</t>
  </si>
  <si>
    <t xml:space="preserve">Tong</t>
  </si>
  <si>
    <t xml:space="preserve">Mbéré</t>
  </si>
  <si>
    <t xml:space="preserve">Bagodo</t>
  </si>
  <si>
    <t xml:space="preserve">Batoua-Godole</t>
  </si>
  <si>
    <t xml:space="preserve">Beka Giuwang</t>
  </si>
  <si>
    <t xml:space="preserve">Diel</t>
  </si>
  <si>
    <t xml:space="preserve">Dir</t>
  </si>
  <si>
    <t xml:space="preserve">Djohong</t>
  </si>
  <si>
    <t xml:space="preserve">Doua</t>
  </si>
  <si>
    <t xml:space="preserve">Fada</t>
  </si>
  <si>
    <t xml:space="preserve">Gankombol</t>
  </si>
  <si>
    <t xml:space="preserve">Garga Pella</t>
  </si>
  <si>
    <t xml:space="preserve">Mboula</t>
  </si>
  <si>
    <t xml:space="preserve">Ngaoui</t>
  </si>
  <si>
    <t xml:space="preserve">Yarmbang</t>
  </si>
  <si>
    <t xml:space="preserve">Vina</t>
  </si>
  <si>
    <t xml:space="preserve">Goundjeu Troua</t>
  </si>
  <si>
    <t xml:space="preserve">Karna Petel</t>
  </si>
  <si>
    <t xml:space="preserve">Lewa Carrefour</t>
  </si>
  <si>
    <t xml:space="preserve">Likok</t>
  </si>
  <si>
    <t xml:space="preserve">Wack</t>
  </si>
  <si>
    <t xml:space="preserve">Wame Grand</t>
  </si>
  <si>
    <t xml:space="preserve">Nyong-et-Kellé</t>
  </si>
  <si>
    <t xml:space="preserve">Axe Chefferie Mahos-Mboui II</t>
  </si>
  <si>
    <t xml:space="preserve">Bakelle</t>
  </si>
  <si>
    <t xml:space="preserve">Beda</t>
  </si>
  <si>
    <t xml:space="preserve">Bo'omakamda</t>
  </si>
  <si>
    <t xml:space="preserve">Dog-Bealisse (Ekangombe-Yebga)</t>
  </si>
  <si>
    <t xml:space="preserve">Ekoum</t>
  </si>
  <si>
    <t xml:space="preserve">Libanda</t>
  </si>
  <si>
    <t xml:space="preserve">Mboui</t>
  </si>
  <si>
    <t xml:space="preserve">Sodibanga (song Ndindjock)</t>
  </si>
  <si>
    <t xml:space="preserve">kelle mpeck</t>
  </si>
  <si>
    <t xml:space="preserve">Moungo</t>
  </si>
  <si>
    <t xml:space="preserve">Bakakte</t>
  </si>
  <si>
    <t xml:space="preserve">Bessounkang</t>
  </si>
  <si>
    <t xml:space="preserve">Bonalebe</t>
  </si>
  <si>
    <t xml:space="preserve">Ekom-Nkam</t>
  </si>
  <si>
    <t xml:space="preserve">Mambellion</t>
  </si>
  <si>
    <t xml:space="preserve">Mouamenam (Moumekang)</t>
  </si>
  <si>
    <t xml:space="preserve">Mpombo</t>
  </si>
  <si>
    <t xml:space="preserve">Ngolsi</t>
  </si>
  <si>
    <t xml:space="preserve">Kupé-Manenguba</t>
  </si>
  <si>
    <t xml:space="preserve">Ekenge</t>
  </si>
  <si>
    <t xml:space="preserve">Elah</t>
  </si>
  <si>
    <t xml:space="preserve">Elumba Court Yard</t>
  </si>
  <si>
    <t xml:space="preserve">Mile 10 Waterfall</t>
  </si>
  <si>
    <t xml:space="preserve">Muaku</t>
  </si>
  <si>
    <t xml:space="preserve">Muan Jikom</t>
  </si>
  <si>
    <t xml:space="preserve">Nguti grammer school</t>
  </si>
  <si>
    <t xml:space="preserve">Nguti town</t>
  </si>
  <si>
    <t xml:space="preserve">Ntalle Bassossi</t>
  </si>
  <si>
    <t xml:space="preserve">Nyan</t>
  </si>
  <si>
    <t xml:space="preserve">Nzeletted-Fonki-Lebe</t>
  </si>
  <si>
    <t xml:space="preserve">Lekié</t>
  </si>
  <si>
    <t xml:space="preserve">Konabeng</t>
  </si>
  <si>
    <t xml:space="preserve">Lekoubek</t>
  </si>
  <si>
    <t xml:space="preserve">Mbele 1</t>
  </si>
  <si>
    <t xml:space="preserve">Mva'a</t>
  </si>
  <si>
    <t xml:space="preserve">Nkog-Bong</t>
  </si>
  <si>
    <t xml:space="preserve">Nkol Mvak</t>
  </si>
  <si>
    <t xml:space="preserve">Nkol-Tomo 1</t>
  </si>
  <si>
    <t xml:space="preserve">Nkoladjap-Polo</t>
  </si>
  <si>
    <t xml:space="preserve">Nkolbogo I</t>
  </si>
  <si>
    <t xml:space="preserve">Mbam-et-Inoubou</t>
  </si>
  <si>
    <t xml:space="preserve">Bakoa</t>
  </si>
  <si>
    <t xml:space="preserve">Bape</t>
  </si>
  <si>
    <t xml:space="preserve">Bassolo</t>
  </si>
  <si>
    <t xml:space="preserve">Bayomen</t>
  </si>
  <si>
    <t xml:space="preserve">Deuk Centre</t>
  </si>
  <si>
    <t xml:space="preserve">Etong/Ilobi</t>
  </si>
  <si>
    <t xml:space="preserve">Mafouth</t>
  </si>
  <si>
    <t xml:space="preserve">Mbangong-Montagne</t>
  </si>
  <si>
    <t xml:space="preserve">Mouko</t>
  </si>
  <si>
    <t xml:space="preserve">Ndema</t>
  </si>
  <si>
    <t xml:space="preserve">Ndoksomb</t>
  </si>
  <si>
    <t xml:space="preserve">Nitoukou</t>
  </si>
  <si>
    <t xml:space="preserve">Nkoubou</t>
  </si>
  <si>
    <t xml:space="preserve">Nomale</t>
  </si>
  <si>
    <t xml:space="preserve">Nomale (Quartier Ibulubul)</t>
  </si>
  <si>
    <t xml:space="preserve">Tchekos</t>
  </si>
  <si>
    <t xml:space="preserve">Mbam-et-Kim</t>
  </si>
  <si>
    <t xml:space="preserve">Donga</t>
  </si>
  <si>
    <t xml:space="preserve">Doume</t>
  </si>
  <si>
    <t xml:space="preserve">Foufoueng</t>
  </si>
  <si>
    <t xml:space="preserve">Gervoum</t>
  </si>
  <si>
    <t xml:space="preserve">Kela Chapella</t>
  </si>
  <si>
    <t xml:space="preserve">Kombe</t>
  </si>
  <si>
    <t xml:space="preserve">Lena</t>
  </si>
  <si>
    <t xml:space="preserve">Mankim</t>
  </si>
  <si>
    <t xml:space="preserve">Matsari</t>
  </si>
  <si>
    <t xml:space="preserve">Mbam</t>
  </si>
  <si>
    <t xml:space="preserve">Nditam</t>
  </si>
  <si>
    <t xml:space="preserve">Ndjole</t>
  </si>
  <si>
    <t xml:space="preserve">Ngambe-Tikar</t>
  </si>
  <si>
    <t xml:space="preserve">Ngoke II</t>
  </si>
  <si>
    <t xml:space="preserve">Ngoro</t>
  </si>
  <si>
    <t xml:space="preserve">Ngouang</t>
  </si>
  <si>
    <t xml:space="preserve">Nguila</t>
  </si>
  <si>
    <t xml:space="preserve">Nyamongo</t>
  </si>
  <si>
    <t xml:space="preserve">Salakounou</t>
  </si>
  <si>
    <t xml:space="preserve">Yassem</t>
  </si>
  <si>
    <t xml:space="preserve">Mefou-et-Afamba</t>
  </si>
  <si>
    <t xml:space="preserve">Afanloum</t>
  </si>
  <si>
    <t xml:space="preserve">Ebang1</t>
  </si>
  <si>
    <t xml:space="preserve">Edzendouan</t>
  </si>
  <si>
    <t xml:space="preserve">Esse</t>
  </si>
  <si>
    <t xml:space="preserve">Koulou (Oboa)</t>
  </si>
  <si>
    <t xml:space="preserve">Mbemedzou</t>
  </si>
  <si>
    <t xml:space="preserve">Mvom doumba</t>
  </si>
  <si>
    <t xml:space="preserve">Ngang</t>
  </si>
  <si>
    <t xml:space="preserve">Oboa</t>
  </si>
  <si>
    <t xml:space="preserve">Mefou-et-Akono</t>
  </si>
  <si>
    <t xml:space="preserve">Adzap-Nkol Nlong I (Nkol Lepsie)</t>
  </si>
  <si>
    <t xml:space="preserve">Andock-Nkolmekok</t>
  </si>
  <si>
    <t xml:space="preserve">Azem-Mba</t>
  </si>
  <si>
    <t xml:space="preserve">Bikolok Bikome</t>
  </si>
  <si>
    <t xml:space="preserve">Ekoko</t>
  </si>
  <si>
    <t xml:space="preserve">Mbalelon 2</t>
  </si>
  <si>
    <t xml:space="preserve">Ngoumou</t>
  </si>
  <si>
    <t xml:space="preserve">Nkaoyos</t>
  </si>
  <si>
    <t xml:space="preserve">Nkelassi (groupement Evindissi)</t>
  </si>
  <si>
    <t xml:space="preserve">Nkol-Oveng</t>
  </si>
  <si>
    <t xml:space="preserve">Nkolekelle-Oyak</t>
  </si>
  <si>
    <t xml:space="preserve">Nkolnelgbe</t>
  </si>
  <si>
    <t xml:space="preserve">Nkom Onamgondi</t>
  </si>
  <si>
    <t xml:space="preserve">Nkongbibega</t>
  </si>
  <si>
    <t xml:space="preserve">Osoemimbang</t>
  </si>
  <si>
    <t xml:space="preserve">Seminaire d'Akono</t>
  </si>
  <si>
    <t xml:space="preserve">Songmimbias</t>
  </si>
  <si>
    <t xml:space="preserve">RÉPARTITION DES CENTRALES SOLAIRES PAR RÉGION, DÉPARTEMENT ET ARRONDISSEMENT</t>
  </si>
  <si>
    <t xml:space="preserve">Phases 1, 2 et 3 du programme national 499 sites au total.</t>
  </si>
  <si>
    <t xml:space="preserve">Arrondissement</t>
  </si>
  <si>
    <t xml:space="preserve">Puissance moyenne (kWc)</t>
  </si>
  <si>
    <t xml:space="preserve">antennes</t>
  </si>
  <si>
    <t xml:space="preserve">visites/mois =1</t>
  </si>
  <si>
    <t xml:space="preserve">extreme-nord</t>
  </si>
  <si>
    <t xml:space="preserve">nord-ouest</t>
  </si>
  <si>
    <t xml:space="preserve">nord</t>
  </si>
  <si>
    <t xml:space="preserve">Ntui</t>
  </si>
  <si>
    <t xml:space="preserve">adamaoua</t>
  </si>
  <si>
    <t xml:space="preserve">Yoko</t>
  </si>
  <si>
    <t xml:space="preserve">est</t>
  </si>
  <si>
    <t xml:space="preserve">Akono</t>
  </si>
  <si>
    <t xml:space="preserve">centre-sud</t>
  </si>
  <si>
    <t xml:space="preserve">Bikok</t>
  </si>
  <si>
    <t xml:space="preserve">sud-ouest</t>
  </si>
  <si>
    <t xml:space="preserve">Mbankomo</t>
  </si>
  <si>
    <t xml:space="preserve">annexe-sud ouest</t>
  </si>
  <si>
    <t xml:space="preserve">Lembe-Yezoum</t>
  </si>
  <si>
    <t xml:space="preserve">Minta</t>
  </si>
  <si>
    <t xml:space="preserve">Nanga Eboko</t>
  </si>
  <si>
    <t xml:space="preserve">Nanga-Eboko</t>
  </si>
  <si>
    <t xml:space="preserve">Bokito</t>
  </si>
  <si>
    <t xml:space="preserve">Deuk</t>
  </si>
  <si>
    <t xml:space="preserve">KiKi</t>
  </si>
  <si>
    <t xml:space="preserve">Kon-Yambetta</t>
  </si>
  <si>
    <t xml:space="preserve">Ndikimineki</t>
  </si>
  <si>
    <t xml:space="preserve">Ndikinemeki</t>
  </si>
  <si>
    <t xml:space="preserve">Ndikinimeki</t>
  </si>
  <si>
    <t xml:space="preserve">Bot Makak</t>
  </si>
  <si>
    <t xml:space="preserve">Bot-Makak</t>
  </si>
  <si>
    <t xml:space="preserve">Dibang</t>
  </si>
  <si>
    <t xml:space="preserve">Matomb</t>
  </si>
  <si>
    <t xml:space="preserve">Messondo</t>
  </si>
  <si>
    <t xml:space="preserve">Nkolafamba</t>
  </si>
  <si>
    <t xml:space="preserve">Soa</t>
  </si>
  <si>
    <t xml:space="preserve">soa</t>
  </si>
  <si>
    <t xml:space="preserve">Monatele</t>
  </si>
  <si>
    <t xml:space="preserve">Obala</t>
  </si>
  <si>
    <t xml:space="preserve">Okola</t>
  </si>
  <si>
    <t xml:space="preserve">SA'A</t>
  </si>
  <si>
    <t xml:space="preserve">Sa'a</t>
  </si>
  <si>
    <t xml:space="preserve">Dzeng</t>
  </si>
  <si>
    <t xml:space="preserve">Mbalmayo</t>
  </si>
  <si>
    <t xml:space="preserve">Mengueme</t>
  </si>
  <si>
    <t xml:space="preserve">Ngomedzap</t>
  </si>
  <si>
    <t xml:space="preserve">Akonolinga</t>
  </si>
  <si>
    <t xml:space="preserve">Ayos</t>
  </si>
  <si>
    <t xml:space="preserve">Nyakokombo</t>
  </si>
  <si>
    <t xml:space="preserve">Bengbis</t>
  </si>
  <si>
    <t xml:space="preserve">Djoum</t>
  </si>
  <si>
    <t xml:space="preserve">Haut Nyong</t>
  </si>
  <si>
    <t xml:space="preserve">Meyomessala</t>
  </si>
  <si>
    <t xml:space="preserve">Sangmelima</t>
  </si>
  <si>
    <t xml:space="preserve">Zoétélé</t>
  </si>
  <si>
    <t xml:space="preserve">Biwong Bane</t>
  </si>
  <si>
    <t xml:space="preserve">Biwong Bulu</t>
  </si>
  <si>
    <t xml:space="preserve">Biwong-Bane</t>
  </si>
  <si>
    <t xml:space="preserve">Biwong-Bulu</t>
  </si>
  <si>
    <t xml:space="preserve">Ebolawa2</t>
  </si>
  <si>
    <t xml:space="preserve">Ebolowa</t>
  </si>
  <si>
    <t xml:space="preserve">Ebolowa 2</t>
  </si>
  <si>
    <t xml:space="preserve">Efoulan</t>
  </si>
  <si>
    <t xml:space="preserve">Mengong</t>
  </si>
  <si>
    <t xml:space="preserve">Ngoulemakong</t>
  </si>
  <si>
    <t xml:space="preserve">Akom II</t>
  </si>
  <si>
    <t xml:space="preserve">Bipindi</t>
  </si>
  <si>
    <t xml:space="preserve">Campo</t>
  </si>
  <si>
    <t xml:space="preserve">Lokoundje</t>
  </si>
  <si>
    <t xml:space="preserve">Lokoundjé</t>
  </si>
  <si>
    <t xml:space="preserve">Lolodorf</t>
  </si>
  <si>
    <t xml:space="preserve">Ambam</t>
  </si>
  <si>
    <t xml:space="preserve">Ma'an</t>
  </si>
  <si>
    <t xml:space="preserve">Olamze</t>
  </si>
  <si>
    <t xml:space="preserve">Bamkim</t>
  </si>
  <si>
    <t xml:space="preserve">Bankim</t>
  </si>
  <si>
    <t xml:space="preserve">Banyo</t>
  </si>
  <si>
    <t xml:space="preserve">Mayo-Darle</t>
  </si>
  <si>
    <t xml:space="preserve">Meiganga</t>
  </si>
  <si>
    <t xml:space="preserve">Galim Tignere</t>
  </si>
  <si>
    <t xml:space="preserve">Galim-Tignère</t>
  </si>
  <si>
    <t xml:space="preserve">Kontcha</t>
  </si>
  <si>
    <t xml:space="preserve">Mayo-Baléo</t>
  </si>
  <si>
    <t xml:space="preserve">Tignere</t>
  </si>
  <si>
    <t xml:space="preserve">Tignère</t>
  </si>
  <si>
    <t xml:space="preserve">Ngaoundal</t>
  </si>
  <si>
    <t xml:space="preserve">Tibati</t>
  </si>
  <si>
    <t xml:space="preserve">Belel</t>
  </si>
  <si>
    <t xml:space="preserve">Martap</t>
  </si>
  <si>
    <t xml:space="preserve">Mbe</t>
  </si>
  <si>
    <t xml:space="preserve">Ngan-ha</t>
  </si>
  <si>
    <t xml:space="preserve">Abong Mbang</t>
  </si>
  <si>
    <t xml:space="preserve">Abongmbang</t>
  </si>
  <si>
    <t xml:space="preserve">Angossas</t>
  </si>
  <si>
    <t xml:space="preserve">Atock</t>
  </si>
  <si>
    <t xml:space="preserve">Atok</t>
  </si>
  <si>
    <t xml:space="preserve">Dimako</t>
  </si>
  <si>
    <t xml:space="preserve">Lomie</t>
  </si>
  <si>
    <t xml:space="preserve">Mboma</t>
  </si>
  <si>
    <t xml:space="preserve">Messamena</t>
  </si>
  <si>
    <t xml:space="preserve">Messok</t>
  </si>
  <si>
    <t xml:space="preserve">Ngoyla</t>
  </si>
  <si>
    <t xml:space="preserve">Betare Oya</t>
  </si>
  <si>
    <t xml:space="preserve">Betare-Oya</t>
  </si>
  <si>
    <t xml:space="preserve">Diang</t>
  </si>
  <si>
    <t xml:space="preserve">Lom et Djerem</t>
  </si>
  <si>
    <t xml:space="preserve">Ndemnan</t>
  </si>
  <si>
    <t xml:space="preserve">Mouloudou</t>
  </si>
  <si>
    <t xml:space="preserve">Salapoumbe</t>
  </si>
  <si>
    <t xml:space="preserve">Yokadouma</t>
  </si>
  <si>
    <t xml:space="preserve">Lom et Ajerm</t>
  </si>
  <si>
    <t xml:space="preserve">Rey-Bouba</t>
  </si>
  <si>
    <t xml:space="preserve">Tchollire</t>
  </si>
  <si>
    <t xml:space="preserve">Tcholliré</t>
  </si>
  <si>
    <t xml:space="preserve">Touboro</t>
  </si>
  <si>
    <t xml:space="preserve">Bibemi</t>
  </si>
  <si>
    <t xml:space="preserve">Lagdo</t>
  </si>
  <si>
    <t xml:space="preserve">Pitoa</t>
  </si>
  <si>
    <t xml:space="preserve">Figuil</t>
  </si>
  <si>
    <t xml:space="preserve">Guider</t>
  </si>
  <si>
    <t xml:space="preserve">Mayo Louti</t>
  </si>
  <si>
    <t xml:space="preserve">Mayo Oulo</t>
  </si>
  <si>
    <t xml:space="preserve">Poli</t>
  </si>
  <si>
    <t xml:space="preserve">Madinring</t>
  </si>
  <si>
    <t xml:space="preserve">Mbaimboum</t>
  </si>
  <si>
    <t xml:space="preserve">Edea 1</t>
  </si>
  <si>
    <t xml:space="preserve">Edea II</t>
  </si>
  <si>
    <t xml:space="preserve">Massock Songloulou</t>
  </si>
  <si>
    <t xml:space="preserve">Massok</t>
  </si>
  <si>
    <t xml:space="preserve">Massok Songloulou</t>
  </si>
  <si>
    <t xml:space="preserve">Massok-Songloulou</t>
  </si>
  <si>
    <t xml:space="preserve">Mouanko</t>
  </si>
  <si>
    <t xml:space="preserve">Ndom</t>
  </si>
  <si>
    <t xml:space="preserve">Ngwei</t>
  </si>
  <si>
    <t xml:space="preserve">Ngwei I</t>
  </si>
  <si>
    <t xml:space="preserve">Nyanon</t>
  </si>
  <si>
    <t xml:space="preserve">massock-Songloulou</t>
  </si>
  <si>
    <t xml:space="preserve">Nkondjock</t>
  </si>
  <si>
    <t xml:space="preserve">Yabassi</t>
  </si>
  <si>
    <t xml:space="preserve">Bare-Bakem</t>
  </si>
  <si>
    <t xml:space="preserve">Fiko</t>
  </si>
  <si>
    <t xml:space="preserve">Loum</t>
  </si>
  <si>
    <t xml:space="preserve">Manjo</t>
  </si>
  <si>
    <t xml:space="preserve">Nlonako</t>
  </si>
  <si>
    <t xml:space="preserve">Douala 4</t>
  </si>
  <si>
    <t xml:space="preserve">Batibo</t>
  </si>
  <si>
    <t xml:space="preserve">Mbengwi</t>
  </si>
  <si>
    <t xml:space="preserve">Ngie</t>
  </si>
  <si>
    <t xml:space="preserve">Ngir</t>
  </si>
  <si>
    <t xml:space="preserve">Ako</t>
  </si>
  <si>
    <t xml:space="preserve">Mesaje</t>
  </si>
  <si>
    <t xml:space="preserve">Misaje</t>
  </si>
  <si>
    <t xml:space="preserve">Nkambe</t>
  </si>
  <si>
    <t xml:space="preserve">Nwa</t>
  </si>
  <si>
    <t xml:space="preserve">Belo</t>
  </si>
  <si>
    <t xml:space="preserve">Bum</t>
  </si>
  <si>
    <t xml:space="preserve">Fundong</t>
  </si>
  <si>
    <t xml:space="preserve">Njinikom</t>
  </si>
  <si>
    <t xml:space="preserve">Kum</t>
  </si>
  <si>
    <t xml:space="preserve">Kumbo</t>
  </si>
  <si>
    <t xml:space="preserve">Oku</t>
  </si>
  <si>
    <t xml:space="preserve">Fungom-Awa</t>
  </si>
  <si>
    <t xml:space="preserve">Wum</t>
  </si>
  <si>
    <t xml:space="preserve">Ndop</t>
  </si>
  <si>
    <t xml:space="preserve">Bafut</t>
  </si>
  <si>
    <t xml:space="preserve">Bali Nyonga</t>
  </si>
  <si>
    <t xml:space="preserve">Magba</t>
  </si>
  <si>
    <t xml:space="preserve">Malantouen</t>
  </si>
  <si>
    <t xml:space="preserve">Malentouen</t>
  </si>
  <si>
    <t xml:space="preserve">Massangam</t>
  </si>
  <si>
    <t xml:space="preserve">Njimom</t>
  </si>
  <si>
    <t xml:space="preserve">Baleveng</t>
  </si>
  <si>
    <t xml:space="preserve">Fokoue</t>
  </si>
  <si>
    <t xml:space="preserve">Nkong-Ni</t>
  </si>
  <si>
    <t xml:space="preserve">Penka Michel</t>
  </si>
  <si>
    <t xml:space="preserve">Penka-Michel</t>
  </si>
  <si>
    <t xml:space="preserve">Santchou</t>
  </si>
  <si>
    <t xml:space="preserve">Babadjou</t>
  </si>
  <si>
    <t xml:space="preserve">Batcham</t>
  </si>
  <si>
    <t xml:space="preserve">Galim</t>
  </si>
  <si>
    <t xml:space="preserve">Bakou</t>
  </si>
  <si>
    <t xml:space="preserve">Bandja</t>
  </si>
  <si>
    <t xml:space="preserve">Bafang</t>
  </si>
  <si>
    <t xml:space="preserve">Bazou</t>
  </si>
  <si>
    <t xml:space="preserve">Guidiguis</t>
  </si>
  <si>
    <t xml:space="preserve">Kaele</t>
  </si>
  <si>
    <t xml:space="preserve">Mindif</t>
  </si>
  <si>
    <t xml:space="preserve">Moutourwa</t>
  </si>
  <si>
    <t xml:space="preserve">Mouvoudaye</t>
  </si>
  <si>
    <t xml:space="preserve">Porhi</t>
  </si>
  <si>
    <t xml:space="preserve">Taibong</t>
  </si>
  <si>
    <t xml:space="preserve">Taitong</t>
  </si>
  <si>
    <t xml:space="preserve">Guere</t>
  </si>
  <si>
    <t xml:space="preserve">Guerre</t>
  </si>
  <si>
    <t xml:space="preserve">Kai-Kai</t>
  </si>
  <si>
    <t xml:space="preserve">Kar-Hay</t>
  </si>
  <si>
    <t xml:space="preserve">Tchatibali</t>
  </si>
  <si>
    <t xml:space="preserve">Mara</t>
  </si>
  <si>
    <t xml:space="preserve">Tokombere</t>
  </si>
  <si>
    <t xml:space="preserve">Tokombéré</t>
  </si>
  <si>
    <t xml:space="preserve">Bogo</t>
  </si>
  <si>
    <t xml:space="preserve">Gazawa</t>
  </si>
  <si>
    <t xml:space="preserve">Maroua 2</t>
  </si>
  <si>
    <t xml:space="preserve">Ndoukoula</t>
  </si>
  <si>
    <t xml:space="preserve">Pette</t>
  </si>
  <si>
    <t xml:space="preserve">Mayo maskota</t>
  </si>
  <si>
    <t xml:space="preserve">Mokolo</t>
  </si>
  <si>
    <t xml:space="preserve">Logone-Birni</t>
  </si>
  <si>
    <t xml:space="preserve">Bangem</t>
  </si>
  <si>
    <t xml:space="preserve">Nguti</t>
  </si>
  <si>
    <t xml:space="preserve">Tombel</t>
  </si>
  <si>
    <t xml:space="preserve">Bamusso</t>
  </si>
  <si>
    <t xml:space="preserve">Ekondo-Titi</t>
  </si>
  <si>
    <t xml:space="preserve">Isangelle</t>
  </si>
  <si>
    <t xml:space="preserve">Mundemba</t>
  </si>
  <si>
    <t xml:space="preserve">Toko</t>
  </si>
  <si>
    <t xml:space="preserve">Akwaya</t>
  </si>
  <si>
    <t xml:space="preserve">Upper Bayang</t>
  </si>
  <si>
    <t xml:space="preserve">Konye</t>
  </si>
  <si>
    <t xml:space="preserve">Mbonge</t>
  </si>
  <si>
    <t xml:space="preserve">Fontem</t>
  </si>
  <si>
    <t xml:space="preserve">N°</t>
  </si>
  <si>
    <t xml:space="preserve">Latitude (N)</t>
  </si>
  <si>
    <t xml:space="preserve">Longitude (E)</t>
  </si>
  <si>
    <t xml:space="preserve">ORGANIGRAMME DU RÉSEAU D'ANTENNES AER</t>
  </si>
  <si>
    <t xml:space="preserve">4 antennes principales, 5 annexes rattachées. Les effectifs affichés reprennent l'onglet Antennes — Détail solaire.</t>
  </si>
  <si>
    <t xml:space="preserve">AGENCE D'ÉLECTRIFICATION RURALE</t>
  </si>
  <si>
    <t xml:space="preserve">Siège — Yaoundé</t>
  </si>
  <si>
    <t xml:space="preserve">ANTENNE BAMENDA</t>
  </si>
  <si>
    <t xml:space="preserve">ANTENNE LIMBÉ</t>
  </si>
  <si>
    <t xml:space="preserve">ANTENNE GAROUA</t>
  </si>
  <si>
    <t xml:space="preserve">SIÈGE YAOUNDÉ</t>
  </si>
  <si>
    <t xml:space="preserve">Littoral, Sud-Ouest</t>
  </si>
  <si>
    <t xml:space="preserve">Annexe
NKONGSAMBA</t>
  </si>
  <si>
    <t xml:space="preserve">Annexe
MAROUA</t>
  </si>
  <si>
    <t xml:space="preserve">Annexe
NGAOUNDÉRÉ</t>
  </si>
  <si>
    <t xml:space="preserve">Annexe
BERTOUA</t>
  </si>
  <si>
    <t xml:space="preserve">Annexe
EBOLOWA</t>
  </si>
  <si>
    <t xml:space="preserve">Moungo, Kupé-Manenguba</t>
  </si>
  <si>
    <t xml:space="preserve">Est, Nyong-Mfoumou, Ht-Sanaga</t>
  </si>
  <si>
    <t xml:space="preserve">Sud + Nyong-et-So'o</t>
  </si>
  <si>
    <t xml:space="preserve">LÉGENDE</t>
  </si>
  <si>
    <t xml:space="preserve">Siège AER</t>
  </si>
  <si>
    <t xml:space="preserve">Antenne principale</t>
  </si>
  <si>
    <t xml:space="preserve">Annexe (rattachée à une antenne principale)</t>
  </si>
  <si>
    <t xml:space="preserve">Chaque annexe est administrativement rattachée à son antenne principale plutôt que de fonctionner de façon autonome : Nkongsamba dépend de Limbé ; Maroua et Ngaoundéré dépendent de Garoua ; Bertoua et Ebolowa dépendent du Siège Yaoundé. Voir l'onglet Antennes — Détail solaire pour le détail chiffré par structure et la vue consolidée par groupe.</t>
  </si>
  <si>
    <t xml:space="preserve">EFFECTIFS AER — ÉQUIPES TERRAIN (1 Ingénieur + 2 Techniciens + 1 Chauffeur par équipe)</t>
  </si>
  <si>
    <t xml:space="preserve">Personnel additionnel = agent présent sur la zone mais dont le profil ne correspond à aucun des 3 postes-type de l'équipe.</t>
  </si>
  <si>
    <t xml:space="preserve">Zone</t>
  </si>
  <si>
    <t xml:space="preserve">Rôle</t>
  </si>
  <si>
    <t xml:space="preserve">Agent affecté</t>
  </si>
  <si>
    <t xml:space="preserve">Poste (fichier RH)</t>
  </si>
  <si>
    <t xml:space="preserve">Antenne (rempli)</t>
  </si>
  <si>
    <t xml:space="preserve">Zone (rempli)</t>
  </si>
  <si>
    <t xml:space="preserve">Antenne Extreme-Nord</t>
  </si>
  <si>
    <t xml:space="preserve">— MANQUANT —</t>
  </si>
  <si>
    <t xml:space="preserve">MANQUE</t>
  </si>
  <si>
    <t xml:space="preserve">YANGAI Bekolo Emmanuel Parfait</t>
  </si>
  <si>
    <t xml:space="preserve">Agent de maitrise</t>
  </si>
  <si>
    <t xml:space="preserve">OK</t>
  </si>
  <si>
    <t xml:space="preserve">ADAMOU Abba Badamassi</t>
  </si>
  <si>
    <t xml:space="preserve">IBRAHIMA</t>
  </si>
  <si>
    <t xml:space="preserve">Antenne Nord</t>
  </si>
  <si>
    <t xml:space="preserve">DJAWOE Samuel</t>
  </si>
  <si>
    <t xml:space="preserve">Ingenieur / CS</t>
  </si>
  <si>
    <t xml:space="preserve">HAMADOU Mousa</t>
  </si>
  <si>
    <t xml:space="preserve">ABDOULAYE AWAH Salam</t>
  </si>
  <si>
    <t xml:space="preserve">TIAM TIAGHOUE Valery</t>
  </si>
  <si>
    <t xml:space="preserve">CHAMSSOUDINNI Boukar</t>
  </si>
  <si>
    <t xml:space="preserve">Antenne Nord-Ouest</t>
  </si>
  <si>
    <t xml:space="preserve">TAGNE Duclair</t>
  </si>
  <si>
    <t xml:space="preserve">Chef service antenne du Nord</t>
  </si>
  <si>
    <t xml:space="preserve">DICOUM Vincent</t>
  </si>
  <si>
    <t xml:space="preserve">WABILA Patrick</t>
  </si>
  <si>
    <t xml:space="preserve">CHEKO JOHN NFOMBE</t>
  </si>
  <si>
    <t xml:space="preserve">NGANGNDI Nelson Ful</t>
  </si>
  <si>
    <t xml:space="preserve">NGANDI PAUL AYEAH</t>
  </si>
  <si>
    <t xml:space="preserve">(additionnel)</t>
  </si>
  <si>
    <t xml:space="preserve">HANSON Anyere</t>
  </si>
  <si>
    <t xml:space="preserve">PERSONNEL ADDITIONNEL (hors profil-type)</t>
  </si>
  <si>
    <t xml:space="preserve">NDIKEBAH DIVINE MAWOH</t>
  </si>
  <si>
    <t xml:space="preserve">NOUMBISSI TEKEM HERMAN</t>
  </si>
  <si>
    <t xml:space="preserve">Antenne Adamaoua</t>
  </si>
  <si>
    <t xml:space="preserve">ABOUBAKAR Siddik</t>
  </si>
  <si>
    <t xml:space="preserve">Ingenieur</t>
  </si>
  <si>
    <t xml:space="preserve">ABBA Ilyassa</t>
  </si>
  <si>
    <t xml:space="preserve">BOUBAKARY Abba Souleymanou</t>
  </si>
  <si>
    <t xml:space="preserve">Antenne Est</t>
  </si>
  <si>
    <t xml:space="preserve">MBA Bertrand</t>
  </si>
  <si>
    <t xml:space="preserve">GHOMSI MOTCHEYO</t>
  </si>
  <si>
    <t xml:space="preserve">ESSIANE NNEMETE Yannick</t>
  </si>
  <si>
    <t xml:space="preserve">KANWA Raoul</t>
  </si>
  <si>
    <t xml:space="preserve">OTUMBU PENDA LIONNEL ERICE</t>
  </si>
  <si>
    <t xml:space="preserve">NSHIOM Tam Promise</t>
  </si>
  <si>
    <t xml:space="preserve">Antenne Sud - Centre</t>
  </si>
  <si>
    <t xml:space="preserve">AHOUDJA Boris</t>
  </si>
  <si>
    <t xml:space="preserve">DOUANLA Djouda Achille</t>
  </si>
  <si>
    <t xml:space="preserve">DJEPAN JUNIOR HONORA</t>
  </si>
  <si>
    <t xml:space="preserve">CHI Belmond NGWA</t>
  </si>
  <si>
    <t xml:space="preserve">CHENDJOU Gabriel</t>
  </si>
  <si>
    <t xml:space="preserve">EBELLE EBONGUE Steve Yannick</t>
  </si>
  <si>
    <t xml:space="preserve">MBELE Ben Thierry</t>
  </si>
  <si>
    <t xml:space="preserve">Employé</t>
  </si>
  <si>
    <t xml:space="preserve">Antenne Sud-Ouest</t>
  </si>
  <si>
    <t xml:space="preserve">NDONG Roland</t>
  </si>
  <si>
    <t xml:space="preserve">KENKOH Sylvanus Ngek</t>
  </si>
  <si>
    <t xml:space="preserve">NJANG Meheyle Jasper</t>
  </si>
  <si>
    <t xml:space="preserve">Annexe Sud-Ouest NKONSAMBA</t>
  </si>
  <si>
    <t xml:space="preserve">ATEBA Joseph Desire</t>
  </si>
  <si>
    <t xml:space="preserve">EWANE Wang Romeo</t>
  </si>
  <si>
    <t xml:space="preserve">WANG MBAPPE Serge Eric</t>
  </si>
  <si>
    <t xml:space="preserve">NSHIOM Nelson</t>
  </si>
  <si>
    <t xml:space="preserve">BAYECK Simon Gautier</t>
  </si>
  <si>
    <t xml:space="preserve">EBANDA Abanda Emile</t>
  </si>
  <si>
    <t xml:space="preserve">MBIPEF HAMZA NCHUHNYUI</t>
  </si>
  <si>
    <t xml:space="preserve">Non renseigné</t>
  </si>
  <si>
    <t xml:space="preserve">Siege Yaoundé</t>
  </si>
  <si>
    <t xml:space="preserve">KANGA Wong Landry</t>
  </si>
  <si>
    <t xml:space="preserve">KAMNANG Kouonang Arnaud</t>
  </si>
  <si>
    <t xml:space="preserve">BANANA Louis Tresor</t>
  </si>
  <si>
    <t xml:space="preserve">ARNOLD Musumbe Nsoh Asanji</t>
  </si>
  <si>
    <t xml:space="preserve">BOUBA Bello</t>
  </si>
  <si>
    <t xml:space="preserve">NDO Ella</t>
  </si>
  <si>
    <t xml:space="preserve">TABUFOR Emmanuel Abessi</t>
  </si>
  <si>
    <t xml:space="preserve">PERSONNEL NON AFFECTÉ À UNE ÉQUIPE  (14 agents)</t>
  </si>
  <si>
    <t xml:space="preserve">Nom</t>
  </si>
  <si>
    <t xml:space="preserve">CHRISTIAN BLONDEL MATEKE EPONGO</t>
  </si>
  <si>
    <t xml:space="preserve">CADRE</t>
  </si>
  <si>
    <t xml:space="preserve">Autre</t>
  </si>
  <si>
    <t xml:space="preserve">FOUDA Biloa Sandrine</t>
  </si>
  <si>
    <t xml:space="preserve">Secretaire</t>
  </si>
  <si>
    <t xml:space="preserve">MATEKE Christian Blondel</t>
  </si>
  <si>
    <t xml:space="preserve">S/D CIGDE</t>
  </si>
  <si>
    <t xml:space="preserve">MBOG Aime Thierry</t>
  </si>
  <si>
    <t xml:space="preserve">S/D MCP</t>
  </si>
  <si>
    <t xml:space="preserve">NGOU Idriss</t>
  </si>
  <si>
    <t xml:space="preserve">Informaticien</t>
  </si>
  <si>
    <t xml:space="preserve">NGOUATEU Patrice</t>
  </si>
  <si>
    <t xml:space="preserve">S/D Réseau de Distribution</t>
  </si>
  <si>
    <t xml:space="preserve">NGOULA EWOUKI Uriel</t>
  </si>
  <si>
    <t xml:space="preserve">Directeur des Energies Renouvelables</t>
  </si>
  <si>
    <t xml:space="preserve">NGUONAM Clement Tangjua</t>
  </si>
  <si>
    <t xml:space="preserve">Chef d’Antenne Ouest/ Nord-Ouest</t>
  </si>
  <si>
    <t xml:space="preserve">BEKONGOUE Angoue Donald</t>
  </si>
  <si>
    <t xml:space="preserve">KOFA BAKEU Christine</t>
  </si>
  <si>
    <t xml:space="preserve">SIJOCK Gilles Cédric</t>
  </si>
  <si>
    <t xml:space="preserve">ABDOUL KADRI</t>
  </si>
  <si>
    <t xml:space="preserve">ABOUBAKAR Siddiki Moukaila</t>
  </si>
  <si>
    <t xml:space="preserve">MENGUE Marie-Therèse</t>
  </si>
</sst>
</file>

<file path=xl/styles.xml><?xml version="1.0" encoding="utf-8"?>
<styleSheet xmlns="http://schemas.openxmlformats.org/spreadsheetml/2006/main">
  <numFmts count="8">
    <numFmt numFmtId="164" formatCode="General"/>
    <numFmt numFmtId="165" formatCode="#,##0"/>
    <numFmt numFmtId="166" formatCode="#,##0.0"/>
    <numFmt numFmtId="167" formatCode="@"/>
    <numFmt numFmtId="168" formatCode="0.0%"/>
    <numFmt numFmtId="169" formatCode="General"/>
    <numFmt numFmtId="170" formatCode="0.00"/>
    <numFmt numFmtId="171" formatCode="0.0"/>
  </numFmts>
  <fonts count="62">
    <font>
      <sz val="11"/>
      <color theme="1"/>
      <name val="Calibri"/>
      <family val="0"/>
      <charset val="1"/>
    </font>
    <font>
      <sz val="10"/>
      <name val="Arial"/>
      <family val="0"/>
    </font>
    <font>
      <sz val="10"/>
      <name val="Arial"/>
      <family val="0"/>
    </font>
    <font>
      <sz val="10"/>
      <name val="Arial"/>
      <family val="0"/>
    </font>
    <font>
      <b val="true"/>
      <sz val="19"/>
      <color rgb="FFFFFFFF"/>
      <name val="Cambria"/>
      <family val="0"/>
      <charset val="1"/>
    </font>
    <font>
      <i val="true"/>
      <sz val="9"/>
      <color rgb="FF595959"/>
      <name val="Cambria"/>
      <family val="0"/>
      <charset val="1"/>
    </font>
    <font>
      <b val="true"/>
      <sz val="12"/>
      <color rgb="FF1F3864"/>
      <name val="Cambria"/>
      <family val="0"/>
      <charset val="1"/>
    </font>
    <font>
      <b val="true"/>
      <sz val="8.5"/>
      <color rgb="FF1F3864"/>
      <name val="Cambria"/>
      <family val="0"/>
      <charset val="1"/>
    </font>
    <font>
      <b val="true"/>
      <sz val="20"/>
      <color rgb="FF1F3864"/>
      <name val="Cambria"/>
      <family val="0"/>
      <charset val="1"/>
    </font>
    <font>
      <b val="true"/>
      <sz val="20"/>
      <color rgb="FF2E5C99"/>
      <name val="Cambria"/>
      <family val="0"/>
      <charset val="1"/>
    </font>
    <font>
      <b val="true"/>
      <sz val="20"/>
      <color rgb="FFC9A24B"/>
      <name val="Cambria"/>
      <family val="0"/>
      <charset val="1"/>
    </font>
    <font>
      <b val="true"/>
      <sz val="20"/>
      <color rgb="FF595959"/>
      <name val="Cambria"/>
      <family val="0"/>
      <charset val="1"/>
    </font>
    <font>
      <b val="true"/>
      <sz val="16"/>
      <color rgb="FF2E5C99"/>
      <name val="Cambria"/>
      <family val="0"/>
      <charset val="1"/>
    </font>
    <font>
      <b val="true"/>
      <sz val="20"/>
      <color rgb="FFC00000"/>
      <name val="Cambria"/>
      <family val="0"/>
      <charset val="1"/>
    </font>
    <font>
      <b val="true"/>
      <sz val="20"/>
      <color rgb="FF2E7D32"/>
      <name val="Cambria"/>
      <family val="0"/>
      <charset val="1"/>
    </font>
    <font>
      <b val="true"/>
      <sz val="16"/>
      <color rgb="FFC00000"/>
      <name val="Cambria"/>
      <family val="0"/>
      <charset val="1"/>
    </font>
    <font>
      <b val="true"/>
      <sz val="13"/>
      <color rgb="FFC00000"/>
      <name val="Cambria"/>
      <family val="0"/>
      <charset val="1"/>
    </font>
    <font>
      <b val="true"/>
      <sz val="9.5"/>
      <color rgb="FFFFFFFF"/>
      <name val="Cambria"/>
      <family val="0"/>
      <charset val="1"/>
    </font>
    <font>
      <b val="true"/>
      <sz val="9.5"/>
      <color rgb="FF1F3864"/>
      <name val="Cambria"/>
      <family val="0"/>
      <charset val="1"/>
    </font>
    <font>
      <sz val="9.5"/>
      <name val="Cambria"/>
      <family val="0"/>
      <charset val="1"/>
    </font>
    <font>
      <i val="true"/>
      <sz val="8.5"/>
      <color rgb="FF595959"/>
      <name val="Cambria"/>
      <family val="0"/>
      <charset val="1"/>
    </font>
    <font>
      <b val="true"/>
      <sz val="11"/>
      <color rgb="FFFFFFFF"/>
      <name val="Cambria"/>
      <family val="0"/>
      <charset val="1"/>
    </font>
    <font>
      <sz val="9"/>
      <name val="Cambria"/>
      <family val="0"/>
      <charset val="1"/>
    </font>
    <font>
      <sz val="9.5"/>
      <color rgb="FFC00000"/>
      <name val="Cambria"/>
      <family val="0"/>
      <charset val="1"/>
    </font>
    <font>
      <b val="true"/>
      <sz val="11.5"/>
      <color rgb="FF1F3864"/>
      <name val="Cambria"/>
      <family val="0"/>
      <charset val="1"/>
    </font>
    <font>
      <b val="true"/>
      <sz val="9"/>
      <color rgb="FFFFFFFF"/>
      <name val="Cambria"/>
      <family val="0"/>
      <charset val="1"/>
    </font>
    <font>
      <b val="true"/>
      <sz val="9.5"/>
      <color rgb="FFC00000"/>
      <name val="Cambria"/>
      <family val="0"/>
      <charset val="1"/>
    </font>
    <font>
      <b val="true"/>
      <sz val="9"/>
      <name val="Cambria"/>
      <family val="0"/>
      <charset val="1"/>
    </font>
    <font>
      <b val="true"/>
      <sz val="11"/>
      <color rgb="FFC00000"/>
      <name val="Cambria"/>
      <family val="0"/>
      <charset val="1"/>
    </font>
    <font>
      <b val="true"/>
      <sz val="11"/>
      <color rgb="FF2E7D32"/>
      <name val="Cambria"/>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FFFFFF"/>
      <name val="Cambria"/>
      <family val="0"/>
      <charset val="1"/>
    </font>
    <font>
      <sz val="10"/>
      <name val="Cambria"/>
      <family val="0"/>
      <charset val="1"/>
    </font>
    <font>
      <b val="true"/>
      <sz val="13"/>
      <color rgb="FF173654"/>
      <name val="Calibri"/>
      <family val="0"/>
      <charset val="134"/>
    </font>
    <font>
      <b val="true"/>
      <sz val="10"/>
      <name val="Calibri"/>
      <family val="0"/>
      <charset val="134"/>
    </font>
    <font>
      <i val="true"/>
      <sz val="9"/>
      <color rgb="FF6B6B66"/>
      <name val="Calibri"/>
      <family val="0"/>
      <charset val="134"/>
    </font>
    <font>
      <sz val="10"/>
      <name val="Calibri"/>
      <family val="0"/>
      <charset val="134"/>
    </font>
    <font>
      <b val="true"/>
      <sz val="10"/>
      <color rgb="FFFFFFFF"/>
      <name val="Calibri"/>
      <family val="0"/>
      <charset val="134"/>
    </font>
    <font>
      <b val="true"/>
      <sz val="11"/>
      <color rgb="FF173654"/>
      <name val="Calibri"/>
      <family val="0"/>
      <charset val="134"/>
    </font>
    <font>
      <b val="true"/>
      <sz val="11"/>
      <color theme="1"/>
      <name val="Calibri"/>
      <family val="0"/>
      <charset val="134"/>
    </font>
    <font>
      <b val="true"/>
      <sz val="11"/>
      <color rgb="FFA8402E"/>
      <name val="Calibri"/>
      <family val="0"/>
      <charset val="134"/>
    </font>
    <font>
      <b val="true"/>
      <sz val="11"/>
      <color rgb="FFFFFFFF"/>
      <name val="Calibri"/>
      <family val="0"/>
      <charset val="134"/>
    </font>
    <font>
      <b val="true"/>
      <sz val="15"/>
      <color rgb="FF173654"/>
      <name val="Calibri"/>
      <family val="0"/>
      <charset val="134"/>
    </font>
    <font>
      <i val="true"/>
      <sz val="10"/>
      <color rgb="FF6B6B66"/>
      <name val="Calibri"/>
      <family val="0"/>
      <charset val="134"/>
    </font>
    <font>
      <sz val="9"/>
      <color rgb="FFFFFFFF"/>
      <name val="Calibri"/>
      <family val="0"/>
      <charset val="134"/>
    </font>
    <font>
      <sz val="9"/>
      <color rgb="FF173654"/>
      <name val="Calibri"/>
      <family val="0"/>
      <charset val="134"/>
    </font>
    <font>
      <b val="true"/>
      <sz val="10"/>
      <color rgb="FF173654"/>
      <name val="Calibri"/>
      <family val="0"/>
      <charset val="134"/>
    </font>
    <font>
      <b val="true"/>
      <sz val="14"/>
      <color rgb="FF1F3864"/>
      <name val="Arial"/>
      <family val="0"/>
      <charset val="134"/>
    </font>
    <font>
      <i val="true"/>
      <sz val="9"/>
      <color rgb="FF5B6B87"/>
      <name val="Arial"/>
      <family val="0"/>
      <charset val="134"/>
    </font>
    <font>
      <b val="true"/>
      <sz val="10"/>
      <color rgb="FFFFFFFF"/>
      <name val="Arial"/>
      <family val="0"/>
      <charset val="134"/>
    </font>
    <font>
      <b val="true"/>
      <sz val="10"/>
      <color rgb="FF1F3864"/>
      <name val="Arial"/>
      <family val="0"/>
      <charset val="1"/>
    </font>
    <font>
      <sz val="10"/>
      <name val="Arial"/>
      <family val="0"/>
      <charset val="1"/>
    </font>
    <font>
      <i val="true"/>
      <sz val="10"/>
      <color rgb="FFC00000"/>
      <name val="Arial"/>
      <family val="0"/>
      <charset val="1"/>
    </font>
    <font>
      <b val="true"/>
      <sz val="9"/>
      <color rgb="FFC00000"/>
      <name val="Arial"/>
      <family val="0"/>
      <charset val="1"/>
    </font>
    <font>
      <b val="true"/>
      <sz val="9"/>
      <color rgb="FF2E7D32"/>
      <name val="Arial"/>
      <family val="0"/>
      <charset val="1"/>
    </font>
    <font>
      <i val="true"/>
      <sz val="9"/>
      <color rgb="FF8A8A8A"/>
      <name val="Arial"/>
      <family val="0"/>
      <charset val="1"/>
    </font>
    <font>
      <i val="true"/>
      <sz val="8"/>
      <color rgb="FF9C6500"/>
      <name val="Arial"/>
      <family val="0"/>
      <charset val="1"/>
    </font>
    <font>
      <b val="true"/>
      <sz val="11"/>
      <color rgb="FF1F3864"/>
      <name val="Arial"/>
      <family val="0"/>
      <charset val="1"/>
    </font>
    <font>
      <b val="true"/>
      <sz val="10"/>
      <color rgb="FFFFFFFF"/>
      <name val="Arial"/>
      <family val="0"/>
      <charset val="1"/>
    </font>
    <font>
      <sz val="10"/>
      <color rgb="FF8A8A8A"/>
      <name val="Arial"/>
      <family val="0"/>
      <charset val="1"/>
    </font>
  </fonts>
  <fills count="24">
    <fill>
      <patternFill patternType="none"/>
    </fill>
    <fill>
      <patternFill patternType="gray125"/>
    </fill>
    <fill>
      <patternFill patternType="solid">
        <fgColor rgb="FF1F3864"/>
        <bgColor rgb="FF173654"/>
      </patternFill>
    </fill>
    <fill>
      <patternFill patternType="solid">
        <fgColor rgb="FFF2F2F2"/>
        <bgColor rgb="FFF6F4EE"/>
      </patternFill>
    </fill>
    <fill>
      <patternFill patternType="solid">
        <fgColor rgb="FFDCE6F1"/>
        <bgColor rgb="FFE6E0EC"/>
      </patternFill>
    </fill>
    <fill>
      <patternFill patternType="solid">
        <fgColor rgb="FFFFFFFF"/>
        <bgColor rgb="FFF6F4EE"/>
      </patternFill>
    </fill>
    <fill>
      <patternFill patternType="solid">
        <fgColor rgb="FF2E5C99"/>
        <bgColor rgb="FF4672A8"/>
      </patternFill>
    </fill>
    <fill>
      <patternFill patternType="solid">
        <fgColor rgb="FFC00000"/>
        <bgColor rgb="FFA8402E"/>
      </patternFill>
    </fill>
    <fill>
      <patternFill patternType="solid">
        <fgColor rgb="FFFFF6E0"/>
        <bgColor rgb="FFFFF3CD"/>
      </patternFill>
    </fill>
    <fill>
      <patternFill patternType="solid">
        <fgColor rgb="FF173654"/>
        <bgColor rgb="FF1F3864"/>
      </patternFill>
    </fill>
    <fill>
      <patternFill patternType="solid">
        <fgColor rgb="FFF6F4EE"/>
        <bgColor rgb="FFF2F2F2"/>
      </patternFill>
    </fill>
    <fill>
      <patternFill patternType="solid">
        <fgColor rgb="FFF0DFC0"/>
        <bgColor rgb="FFFCD5B5"/>
      </patternFill>
    </fill>
    <fill>
      <patternFill patternType="solid">
        <fgColor theme="2"/>
        <bgColor rgb="FFF2F2F2"/>
      </patternFill>
    </fill>
    <fill>
      <patternFill patternType="solid">
        <fgColor rgb="FFC8892B"/>
        <bgColor rgb="FFDC853E"/>
      </patternFill>
    </fill>
    <fill>
      <patternFill patternType="solid">
        <fgColor theme="9" tint="0.7999"/>
        <bgColor rgb="FFFFF3CD"/>
      </patternFill>
    </fill>
    <fill>
      <patternFill patternType="solid">
        <fgColor theme="8" tint="0.3999"/>
        <bgColor rgb="FF8EB4E3"/>
      </patternFill>
    </fill>
    <fill>
      <patternFill patternType="solid">
        <fgColor rgb="FFFFFFCC"/>
        <bgColor rgb="FFFFF3CD"/>
      </patternFill>
    </fill>
    <fill>
      <patternFill patternType="solid">
        <fgColor theme="3" tint="0.7999"/>
        <bgColor rgb="FFD9D9D9"/>
      </patternFill>
    </fill>
    <fill>
      <patternFill patternType="solid">
        <fgColor theme="6" tint="0.5999"/>
        <bgColor rgb="FFD9EAD3"/>
      </patternFill>
    </fill>
    <fill>
      <patternFill patternType="solid">
        <fgColor theme="9" tint="0.5999"/>
        <bgColor rgb="FFF0DFC0"/>
      </patternFill>
    </fill>
    <fill>
      <patternFill patternType="solid">
        <fgColor theme="3" tint="0.5999"/>
        <bgColor rgb="FF93A9CE"/>
      </patternFill>
    </fill>
    <fill>
      <patternFill patternType="solid">
        <fgColor theme="7" tint="0.7999"/>
        <bgColor rgb="FFDCE6F1"/>
      </patternFill>
    </fill>
    <fill>
      <patternFill patternType="solid">
        <fgColor rgb="FF0F2740"/>
        <bgColor rgb="FF173654"/>
      </patternFill>
    </fill>
    <fill>
      <patternFill patternType="solid">
        <fgColor rgb="FFFFF3CD"/>
        <bgColor rgb="FFFFF6E0"/>
      </patternFill>
    </fill>
  </fills>
  <borders count="13">
    <border diagonalUp="false" diagonalDown="false">
      <left/>
      <right/>
      <top/>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style="thin">
        <color rgb="FFBFBFBF"/>
      </right>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AD6CB"/>
      </left>
      <right style="thin">
        <color rgb="FFDAD6CB"/>
      </right>
      <top style="thin">
        <color rgb="FFDAD6CB"/>
      </top>
      <bottom style="thin">
        <color rgb="FFDAD6CB"/>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medium">
        <color rgb="FF0F2740"/>
      </left>
      <right style="medium">
        <color rgb="FF0F2740"/>
      </right>
      <top style="medium">
        <color rgb="FF0F2740"/>
      </top>
      <bottom style="medium">
        <color rgb="FF0F2740"/>
      </bottom>
      <diagonal/>
    </border>
    <border diagonalUp="false" diagonalDown="false">
      <left/>
      <right/>
      <top/>
      <bottom style="thin"/>
      <diagonal/>
    </border>
    <border diagonalUp="false" diagonalDown="false">
      <left style="medium">
        <color rgb="FF0F2740"/>
      </left>
      <right/>
      <top/>
      <bottom/>
      <diagonal/>
    </border>
    <border diagonalUp="false" diagonalDown="false">
      <left/>
      <right/>
      <top style="medium">
        <color rgb="FF0F2740"/>
      </top>
      <bottom/>
      <diagonal/>
    </border>
    <border diagonalUp="false" diagonalDown="false">
      <left style="thin">
        <color rgb="FFB7C6DE"/>
      </left>
      <right style="thin">
        <color rgb="FFB7C6DE"/>
      </right>
      <top style="thin">
        <color rgb="FFB7C6DE"/>
      </top>
      <bottom style="thin">
        <color rgb="FFB7C6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bottom"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1"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5" fontId="8" fillId="5" borderId="2" xfId="0" applyFont="true" applyBorder="true" applyAlignment="true" applyProtection="false">
      <alignment horizontal="center" vertical="center" textRotation="0" wrapText="false" indent="0" shrinkToFit="false"/>
      <protection locked="true" hidden="false"/>
    </xf>
    <xf numFmtId="166" fontId="9" fillId="5" borderId="2" xfId="0" applyFont="true" applyBorder="true" applyAlignment="true" applyProtection="false">
      <alignment horizontal="center" vertical="center" textRotation="0" wrapText="false" indent="0" shrinkToFit="false"/>
      <protection locked="true" hidden="false"/>
    </xf>
    <xf numFmtId="165" fontId="10" fillId="5" borderId="2" xfId="0" applyFont="true" applyBorder="true" applyAlignment="true" applyProtection="false">
      <alignment horizontal="center" vertical="center" textRotation="0" wrapText="false" indent="0" shrinkToFit="false"/>
      <protection locked="true" hidden="false"/>
    </xf>
    <xf numFmtId="166" fontId="11" fillId="5" borderId="2" xfId="0" applyFont="true" applyBorder="true" applyAlignment="true" applyProtection="false">
      <alignment horizontal="center" vertical="center" textRotation="0" wrapText="false" indent="0" shrinkToFit="false"/>
      <protection locked="true" hidden="false"/>
    </xf>
    <xf numFmtId="167" fontId="12" fillId="5" borderId="2" xfId="0" applyFont="true" applyBorder="true" applyAlignment="true" applyProtection="false">
      <alignment horizontal="center" vertical="center" textRotation="0" wrapText="false" indent="0" shrinkToFit="false"/>
      <protection locked="true" hidden="false"/>
    </xf>
    <xf numFmtId="165" fontId="13" fillId="5" borderId="2" xfId="0" applyFont="true" applyBorder="true" applyAlignment="true" applyProtection="false">
      <alignment horizontal="center" vertical="center" textRotation="0" wrapText="false" indent="0" shrinkToFit="false"/>
      <protection locked="true" hidden="false"/>
    </xf>
    <xf numFmtId="165" fontId="14" fillId="5" borderId="2" xfId="0" applyFont="true" applyBorder="true" applyAlignment="true" applyProtection="false">
      <alignment horizontal="center" vertical="center" textRotation="0" wrapText="false" indent="0" shrinkToFit="false"/>
      <protection locked="true" hidden="false"/>
    </xf>
    <xf numFmtId="167" fontId="15" fillId="5" borderId="2" xfId="0" applyFont="true" applyBorder="true" applyAlignment="true" applyProtection="false">
      <alignment horizontal="center" vertical="center" textRotation="0" wrapText="false" indent="0" shrinkToFit="false"/>
      <protection locked="true" hidden="false"/>
    </xf>
    <xf numFmtId="167" fontId="16" fillId="5" borderId="2" xfId="0" applyFont="true" applyBorder="true" applyAlignment="true" applyProtection="false">
      <alignment horizontal="center" vertical="center" textRotation="0" wrapText="false" indent="0" shrinkToFit="false"/>
      <protection locked="true" hidden="false"/>
    </xf>
    <xf numFmtId="164" fontId="17" fillId="2" borderId="3" xfId="0" applyFont="true" applyBorder="true" applyAlignment="true" applyProtection="false">
      <alignment horizontal="center" vertical="center" textRotation="0" wrapText="true" indent="0" shrinkToFit="false"/>
      <protection locked="true" hidden="false"/>
    </xf>
    <xf numFmtId="164" fontId="18" fillId="0" borderId="3" xfId="0" applyFont="true" applyBorder="true" applyAlignment="false" applyProtection="false">
      <alignment horizontal="general" vertical="bottom" textRotation="0" wrapText="false" indent="0" shrinkToFit="false"/>
      <protection locked="true" hidden="false"/>
    </xf>
    <xf numFmtId="164" fontId="19" fillId="5" borderId="3" xfId="0" applyFont="true" applyBorder="true" applyAlignment="false" applyProtection="false">
      <alignment horizontal="general" vertical="bottom" textRotation="0" wrapText="false" indent="0" shrinkToFit="false"/>
      <protection locked="true" hidden="false"/>
    </xf>
    <xf numFmtId="164" fontId="20" fillId="5" borderId="3" xfId="0" applyFont="true" applyBorder="true" applyAlignment="true" applyProtection="false">
      <alignment horizontal="left" vertical="center" textRotation="0" wrapText="true" indent="0" shrinkToFit="false"/>
      <protection locked="true" hidden="false"/>
    </xf>
    <xf numFmtId="165" fontId="0" fillId="5" borderId="3" xfId="0" applyFont="false" applyBorder="true" applyAlignment="true" applyProtection="false">
      <alignment horizontal="center" vertical="bottom" textRotation="0" wrapText="false" indent="0" shrinkToFit="false"/>
      <protection locked="true" hidden="false"/>
    </xf>
    <xf numFmtId="166" fontId="0" fillId="5" borderId="3" xfId="0" applyFont="false" applyBorder="true" applyAlignment="true" applyProtection="false">
      <alignment horizontal="center" vertical="bottom" textRotation="0" wrapText="false" indent="0" shrinkToFit="false"/>
      <protection locked="true" hidden="false"/>
    </xf>
    <xf numFmtId="168" fontId="0" fillId="5" borderId="3" xfId="0" applyFont="false" applyBorder="true" applyAlignment="true" applyProtection="false">
      <alignment horizontal="center" vertical="bottom" textRotation="0" wrapText="false" indent="0" shrinkToFit="false"/>
      <protection locked="true" hidden="false"/>
    </xf>
    <xf numFmtId="164" fontId="19" fillId="3" borderId="3" xfId="0" applyFont="true" applyBorder="true" applyAlignment="false" applyProtection="false">
      <alignment horizontal="general" vertical="bottom" textRotation="0" wrapText="false" indent="0" shrinkToFit="false"/>
      <protection locked="true" hidden="false"/>
    </xf>
    <xf numFmtId="164" fontId="20" fillId="3" borderId="3" xfId="0" applyFont="true" applyBorder="true" applyAlignment="true" applyProtection="false">
      <alignment horizontal="left" vertical="center" textRotation="0" wrapText="true" indent="0" shrinkToFit="false"/>
      <protection locked="true" hidden="false"/>
    </xf>
    <xf numFmtId="165" fontId="0" fillId="3" borderId="3" xfId="0" applyFont="false" applyBorder="true" applyAlignment="true" applyProtection="false">
      <alignment horizontal="center" vertical="bottom" textRotation="0" wrapText="false" indent="0" shrinkToFit="false"/>
      <protection locked="true" hidden="false"/>
    </xf>
    <xf numFmtId="166" fontId="0" fillId="3" borderId="3" xfId="0" applyFont="false" applyBorder="true" applyAlignment="true" applyProtection="false">
      <alignment horizontal="center" vertical="bottom" textRotation="0" wrapText="false" indent="0" shrinkToFit="false"/>
      <protection locked="true" hidden="false"/>
    </xf>
    <xf numFmtId="168" fontId="0" fillId="3" borderId="3" xfId="0" applyFont="false" applyBorder="true" applyAlignment="true" applyProtection="false">
      <alignment horizontal="center" vertical="bottom" textRotation="0" wrapText="false" indent="0" shrinkToFit="false"/>
      <protection locked="true" hidden="false"/>
    </xf>
    <xf numFmtId="164" fontId="21" fillId="6" borderId="3" xfId="0" applyFont="true" applyBorder="true" applyAlignment="false" applyProtection="false">
      <alignment horizontal="general" vertical="bottom" textRotation="0" wrapText="false" indent="0" shrinkToFit="false"/>
      <protection locked="true" hidden="false"/>
    </xf>
    <xf numFmtId="165" fontId="21" fillId="6" borderId="3" xfId="0" applyFont="true" applyBorder="true" applyAlignment="true" applyProtection="false">
      <alignment horizontal="center" vertical="bottom" textRotation="0" wrapText="false" indent="0" shrinkToFit="false"/>
      <protection locked="true" hidden="false"/>
    </xf>
    <xf numFmtId="166" fontId="21" fillId="6" borderId="3" xfId="0" applyFont="true" applyBorder="true" applyAlignment="true" applyProtection="false">
      <alignment horizontal="center" vertical="bottom" textRotation="0" wrapText="false" indent="0" shrinkToFit="false"/>
      <protection locked="true" hidden="false"/>
    </xf>
    <xf numFmtId="168" fontId="21" fillId="6" borderId="3" xfId="0" applyFont="true" applyBorder="true" applyAlignment="true" applyProtection="false">
      <alignment horizontal="center" vertical="bottom" textRotation="0" wrapText="false" indent="0" shrinkToFit="false"/>
      <protection locked="true" hidden="false"/>
    </xf>
    <xf numFmtId="164" fontId="18" fillId="5" borderId="3" xfId="0" applyFont="true" applyBorder="true" applyAlignment="false" applyProtection="false">
      <alignment horizontal="general" vertical="bottom" textRotation="0" wrapText="false" indent="0" shrinkToFit="false"/>
      <protection locked="true" hidden="false"/>
    </xf>
    <xf numFmtId="164" fontId="22" fillId="5" borderId="3" xfId="0" applyFont="true" applyBorder="true" applyAlignment="false" applyProtection="false">
      <alignment horizontal="general" vertical="bottom" textRotation="0" wrapText="false" indent="0" shrinkToFit="false"/>
      <protection locked="true" hidden="false"/>
    </xf>
    <xf numFmtId="169" fontId="23" fillId="5" borderId="3" xfId="0" applyFont="true" applyBorder="true" applyAlignment="true" applyProtection="false">
      <alignment horizontal="center" vertical="bottom" textRotation="0" wrapText="false" indent="0" shrinkToFit="false"/>
      <protection locked="true" hidden="false"/>
    </xf>
    <xf numFmtId="169" fontId="0" fillId="5" borderId="3" xfId="0" applyFont="false" applyBorder="true" applyAlignment="true" applyProtection="false">
      <alignment horizontal="center" vertical="bottom" textRotation="0" wrapText="false" indent="0" shrinkToFit="false"/>
      <protection locked="true" hidden="false"/>
    </xf>
    <xf numFmtId="164" fontId="0" fillId="5" borderId="3" xfId="0" applyFont="false" applyBorder="true" applyAlignment="true" applyProtection="false">
      <alignment horizontal="center" vertical="bottom" textRotation="0" wrapText="false" indent="0" shrinkToFit="false"/>
      <protection locked="true" hidden="false"/>
    </xf>
    <xf numFmtId="164" fontId="18" fillId="3" borderId="3" xfId="0" applyFont="true" applyBorder="true" applyAlignment="false" applyProtection="false">
      <alignment horizontal="general" vertical="bottom" textRotation="0" wrapText="false" indent="0" shrinkToFit="false"/>
      <protection locked="true" hidden="false"/>
    </xf>
    <xf numFmtId="164" fontId="22" fillId="3" borderId="3" xfId="0" applyFont="true" applyBorder="true" applyAlignment="false" applyProtection="false">
      <alignment horizontal="general" vertical="bottom" textRotation="0" wrapText="false" indent="0" shrinkToFit="false"/>
      <protection locked="true" hidden="false"/>
    </xf>
    <xf numFmtId="169" fontId="23" fillId="3" borderId="3" xfId="0" applyFont="true" applyBorder="true" applyAlignment="true" applyProtection="false">
      <alignment horizontal="center" vertical="bottom" textRotation="0" wrapText="false" indent="0" shrinkToFit="false"/>
      <protection locked="true" hidden="false"/>
    </xf>
    <xf numFmtId="169" fontId="0" fillId="3" borderId="3" xfId="0" applyFont="false" applyBorder="true" applyAlignment="true" applyProtection="false">
      <alignment horizontal="center" vertical="bottom" textRotation="0" wrapText="false" indent="0" shrinkToFit="false"/>
      <protection locked="true" hidden="false"/>
    </xf>
    <xf numFmtId="164" fontId="0" fillId="3" borderId="3" xfId="0" applyFont="false" applyBorder="true" applyAlignment="true" applyProtection="false">
      <alignment horizontal="center" vertical="bottom" textRotation="0" wrapText="false" indent="0" shrinkToFit="false"/>
      <protection locked="true" hidden="false"/>
    </xf>
    <xf numFmtId="164" fontId="21" fillId="7" borderId="3" xfId="0" applyFont="true" applyBorder="true" applyAlignment="false" applyProtection="false">
      <alignment horizontal="general" vertical="bottom" textRotation="0" wrapText="false" indent="0" shrinkToFit="false"/>
      <protection locked="true" hidden="false"/>
    </xf>
    <xf numFmtId="169" fontId="21" fillId="7" borderId="3" xfId="0" applyFont="true" applyBorder="true" applyAlignment="true" applyProtection="false">
      <alignment horizontal="center" vertical="bottom" textRotation="0" wrapText="false" indent="0" shrinkToFit="false"/>
      <protection locked="true" hidden="false"/>
    </xf>
    <xf numFmtId="164" fontId="24" fillId="4" borderId="0" xfId="0" applyFont="true" applyBorder="true" applyAlignment="true" applyProtection="false">
      <alignment horizontal="left" vertical="center" textRotation="0" wrapText="false" indent="1" shrinkToFit="false"/>
      <protection locked="true" hidden="false"/>
    </xf>
    <xf numFmtId="164" fontId="25" fillId="2" borderId="3" xfId="0" applyFont="true" applyBorder="true" applyAlignment="true" applyProtection="false">
      <alignment horizontal="center" vertical="center" textRotation="0" wrapText="true" indent="0" shrinkToFit="false"/>
      <protection locked="true" hidden="false"/>
    </xf>
    <xf numFmtId="169" fontId="26" fillId="5" borderId="3" xfId="0" applyFont="true" applyBorder="true" applyAlignment="true" applyProtection="false">
      <alignment horizontal="center" vertical="bottom" textRotation="0" wrapText="false" indent="0" shrinkToFit="false"/>
      <protection locked="true" hidden="false"/>
    </xf>
    <xf numFmtId="164" fontId="7" fillId="5" borderId="3" xfId="0" applyFont="true" applyBorder="true" applyAlignment="false" applyProtection="false">
      <alignment horizontal="general" vertical="bottom" textRotation="0" wrapText="false" indent="0" shrinkToFit="false"/>
      <protection locked="true" hidden="false"/>
    </xf>
    <xf numFmtId="164" fontId="27" fillId="0" borderId="3" xfId="0" applyFont="true" applyBorder="true" applyAlignment="true" applyProtection="false">
      <alignment horizontal="center" vertical="bottom" textRotation="0" wrapText="false" indent="0" shrinkToFit="false"/>
      <protection locked="true" hidden="false"/>
    </xf>
    <xf numFmtId="169" fontId="26" fillId="3" borderId="3" xfId="0" applyFont="true" applyBorder="true" applyAlignment="true" applyProtection="false">
      <alignment horizontal="center" vertical="bottom" textRotation="0" wrapText="false" indent="0" shrinkToFit="false"/>
      <protection locked="true" hidden="false"/>
    </xf>
    <xf numFmtId="164" fontId="7" fillId="3" borderId="3" xfId="0" applyFont="true" applyBorder="true" applyAlignment="false" applyProtection="false">
      <alignment horizontal="general" vertical="bottom" textRotation="0" wrapText="false" indent="0" shrinkToFit="false"/>
      <protection locked="true" hidden="false"/>
    </xf>
    <xf numFmtId="169" fontId="21" fillId="6" borderId="3" xfId="0" applyFont="true" applyBorder="true" applyAlignment="true" applyProtection="false">
      <alignment horizontal="center" vertical="bottom" textRotation="0" wrapText="false" indent="0" shrinkToFit="false"/>
      <protection locked="true" hidden="false"/>
    </xf>
    <xf numFmtId="164" fontId="28" fillId="5" borderId="3" xfId="0" applyFont="true" applyBorder="true" applyAlignment="true" applyProtection="false">
      <alignment horizontal="center" vertical="bottom" textRotation="0" wrapText="false" indent="0" shrinkToFit="false"/>
      <protection locked="true" hidden="false"/>
    </xf>
    <xf numFmtId="164" fontId="0" fillId="5" borderId="3" xfId="0" applyFont="true" applyBorder="true" applyAlignment="true" applyProtection="false">
      <alignment horizontal="left" vertical="bottom"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28" fillId="3" borderId="3" xfId="0" applyFont="true" applyBorder="true" applyAlignment="true" applyProtection="false">
      <alignment horizontal="center" vertical="bottom" textRotation="0" wrapText="false" indent="0" shrinkToFit="false"/>
      <protection locked="true" hidden="false"/>
    </xf>
    <xf numFmtId="164" fontId="0" fillId="3" borderId="3" xfId="0" applyFont="true" applyBorder="true" applyAlignment="true" applyProtection="false">
      <alignment horizontal="left" vertical="bottom" textRotation="0" wrapText="true" indent="0" shrinkToFit="false"/>
      <protection locked="true" hidden="false"/>
    </xf>
    <xf numFmtId="164" fontId="0" fillId="3" borderId="3" xfId="0" applyFont="true" applyBorder="true" applyAlignment="true" applyProtection="false">
      <alignment horizontal="left" vertical="center" textRotation="0" wrapText="true" indent="0" shrinkToFit="false"/>
      <protection locked="true" hidden="false"/>
    </xf>
    <xf numFmtId="164" fontId="29" fillId="3" borderId="3" xfId="0" applyFont="true" applyBorder="true" applyAlignment="true" applyProtection="false">
      <alignment horizontal="center" vertical="bottom" textRotation="0" wrapText="false" indent="0" shrinkToFit="false"/>
      <protection locked="true" hidden="false"/>
    </xf>
    <xf numFmtId="164" fontId="29" fillId="5" borderId="3"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true" applyAlignment="true" applyProtection="false">
      <alignment horizontal="left" vertical="top" textRotation="0" wrapText="true" indent="1" shrinkToFit="false"/>
      <protection locked="true" hidden="false"/>
    </xf>
    <xf numFmtId="164" fontId="33" fillId="2" borderId="0" xfId="0" applyFont="true" applyBorder="false" applyAlignment="true" applyProtection="false">
      <alignment horizontal="general" vertical="center" textRotation="0" wrapText="true" indent="0" shrinkToFit="false"/>
      <protection locked="true" hidden="false"/>
    </xf>
    <xf numFmtId="164" fontId="24" fillId="4" borderId="0" xfId="0" applyFont="true" applyBorder="false" applyAlignment="true" applyProtection="false">
      <alignment horizontal="general" vertical="center" textRotation="0" wrapText="true" indent="0" shrinkToFit="false"/>
      <protection locked="true" hidden="false"/>
    </xf>
    <xf numFmtId="164" fontId="34" fillId="0" borderId="0" xfId="0" applyFont="true" applyBorder="false" applyAlignment="true" applyProtection="false">
      <alignment horizontal="general" vertical="top" textRotation="0" wrapText="true" indent="0" shrinkToFit="false"/>
      <protection locked="true" hidden="false"/>
    </xf>
    <xf numFmtId="164" fontId="35"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true" applyAlignment="false" applyProtection="false">
      <alignment horizontal="general" vertical="bottom" textRotation="0" wrapText="false" indent="0" shrinkToFit="false"/>
      <protection locked="true" hidden="false"/>
    </xf>
    <xf numFmtId="164" fontId="38" fillId="0" borderId="4" xfId="0" applyFont="true" applyBorder="true" applyAlignment="false" applyProtection="false">
      <alignment horizontal="general" vertical="bottom" textRotation="0" wrapText="false" indent="0" shrinkToFit="false"/>
      <protection locked="true" hidden="false"/>
    </xf>
    <xf numFmtId="164" fontId="36" fillId="8" borderId="4" xfId="0" applyFont="true" applyBorder="true" applyAlignment="false" applyProtection="false">
      <alignment horizontal="general" vertical="bottom" textRotation="0" wrapText="false" indent="0" shrinkToFit="false"/>
      <protection locked="true" hidden="false"/>
    </xf>
    <xf numFmtId="164" fontId="39" fillId="9" borderId="4" xfId="0" applyFont="true" applyBorder="true" applyAlignment="true" applyProtection="false">
      <alignment horizontal="center" vertical="bottom" textRotation="0" wrapText="true" indent="0" shrinkToFit="false"/>
      <protection locked="true" hidden="false"/>
    </xf>
    <xf numFmtId="164" fontId="38" fillId="5" borderId="4" xfId="0" applyFont="true" applyBorder="true" applyAlignment="false" applyProtection="false">
      <alignment horizontal="general" vertical="bottom" textRotation="0" wrapText="false" indent="0" shrinkToFit="false"/>
      <protection locked="true" hidden="false"/>
    </xf>
    <xf numFmtId="164" fontId="38" fillId="5" borderId="4" xfId="0" applyFont="true" applyBorder="true" applyAlignment="true" applyProtection="false">
      <alignment horizontal="general" vertical="bottom" textRotation="0" wrapText="true" indent="0" shrinkToFit="false"/>
      <protection locked="true" hidden="false"/>
    </xf>
    <xf numFmtId="169" fontId="38" fillId="5" borderId="4" xfId="0" applyFont="true" applyBorder="true" applyAlignment="true" applyProtection="false">
      <alignment horizontal="center" vertical="center" textRotation="0" wrapText="false" indent="0" shrinkToFit="false"/>
      <protection locked="true" hidden="false"/>
    </xf>
    <xf numFmtId="166" fontId="38" fillId="5" borderId="4" xfId="0" applyFont="true" applyBorder="true" applyAlignment="true" applyProtection="false">
      <alignment horizontal="center" vertical="center" textRotation="0" wrapText="false" indent="0" shrinkToFit="false"/>
      <protection locked="true" hidden="false"/>
    </xf>
    <xf numFmtId="169" fontId="36" fillId="5" borderId="4" xfId="0" applyFont="true" applyBorder="true" applyAlignment="true" applyProtection="false">
      <alignment horizontal="center" vertical="center" textRotation="0" wrapText="false" indent="0" shrinkToFit="false"/>
      <protection locked="true" hidden="false"/>
    </xf>
    <xf numFmtId="168" fontId="38" fillId="5" borderId="4" xfId="0" applyFont="true" applyBorder="true" applyAlignment="true" applyProtection="false">
      <alignment horizontal="center" vertical="center" textRotation="0" wrapText="false" indent="0" shrinkToFit="false"/>
      <protection locked="true" hidden="false"/>
    </xf>
    <xf numFmtId="164" fontId="38" fillId="10" borderId="4" xfId="0" applyFont="true" applyBorder="true" applyAlignment="false" applyProtection="false">
      <alignment horizontal="general" vertical="bottom" textRotation="0" wrapText="false" indent="0" shrinkToFit="false"/>
      <protection locked="true" hidden="false"/>
    </xf>
    <xf numFmtId="164" fontId="38" fillId="10" borderId="4" xfId="0" applyFont="true" applyBorder="true" applyAlignment="true" applyProtection="false">
      <alignment horizontal="general" vertical="bottom" textRotation="0" wrapText="true" indent="0" shrinkToFit="false"/>
      <protection locked="true" hidden="false"/>
    </xf>
    <xf numFmtId="169" fontId="38" fillId="10" borderId="4" xfId="0" applyFont="true" applyBorder="true" applyAlignment="true" applyProtection="false">
      <alignment horizontal="center" vertical="center" textRotation="0" wrapText="false" indent="0" shrinkToFit="false"/>
      <protection locked="true" hidden="false"/>
    </xf>
    <xf numFmtId="166" fontId="38" fillId="10" borderId="4" xfId="0" applyFont="true" applyBorder="true" applyAlignment="true" applyProtection="false">
      <alignment horizontal="center" vertical="center" textRotation="0" wrapText="false" indent="0" shrinkToFit="false"/>
      <protection locked="true" hidden="false"/>
    </xf>
    <xf numFmtId="169" fontId="36" fillId="10" borderId="4" xfId="0" applyFont="true" applyBorder="true" applyAlignment="true" applyProtection="false">
      <alignment horizontal="center" vertical="center" textRotation="0" wrapText="false" indent="0" shrinkToFit="false"/>
      <protection locked="true" hidden="false"/>
    </xf>
    <xf numFmtId="168" fontId="38" fillId="10" borderId="4" xfId="0" applyFont="true" applyBorder="true" applyAlignment="true" applyProtection="false">
      <alignment horizontal="center" vertical="center" textRotation="0" wrapText="false" indent="0" shrinkToFit="false"/>
      <protection locked="true" hidden="false"/>
    </xf>
    <xf numFmtId="164" fontId="36" fillId="11" borderId="4" xfId="0" applyFont="true" applyBorder="true" applyAlignment="false" applyProtection="false">
      <alignment horizontal="general" vertical="bottom" textRotation="0" wrapText="false" indent="0" shrinkToFit="false"/>
      <protection locked="true" hidden="false"/>
    </xf>
    <xf numFmtId="164" fontId="0" fillId="11" borderId="4" xfId="0" applyFont="false" applyBorder="true" applyAlignment="false" applyProtection="false">
      <alignment horizontal="general" vertical="bottom" textRotation="0" wrapText="false" indent="0" shrinkToFit="false"/>
      <protection locked="true" hidden="false"/>
    </xf>
    <xf numFmtId="169" fontId="36" fillId="11" borderId="4" xfId="0" applyFont="true" applyBorder="true" applyAlignment="true" applyProtection="false">
      <alignment horizontal="center" vertical="center" textRotation="0" wrapText="false" indent="0" shrinkToFit="false"/>
      <protection locked="true" hidden="false"/>
    </xf>
    <xf numFmtId="166" fontId="36" fillId="11" borderId="4" xfId="0" applyFont="true" applyBorder="true" applyAlignment="true" applyProtection="false">
      <alignment horizontal="center" vertical="center" textRotation="0" wrapText="false" indent="0" shrinkToFit="false"/>
      <protection locked="true" hidden="false"/>
    </xf>
    <xf numFmtId="169" fontId="36" fillId="11" borderId="4" xfId="0" applyFont="true" applyBorder="true" applyAlignment="true" applyProtection="false">
      <alignment horizontal="center"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10" borderId="4" xfId="0" applyFont="true" applyBorder="true" applyAlignment="false" applyProtection="false">
      <alignment horizontal="general" vertical="bottom" textRotation="0" wrapText="false" indent="0" shrinkToFit="false"/>
      <protection locked="true" hidden="false"/>
    </xf>
    <xf numFmtId="164" fontId="36" fillId="0" borderId="4" xfId="0" applyFont="true" applyBorder="true" applyAlignment="false" applyProtection="false">
      <alignment horizontal="general" vertical="bottom" textRotation="0" wrapText="false" indent="0" shrinkToFit="false"/>
      <protection locked="true" hidden="false"/>
    </xf>
    <xf numFmtId="169" fontId="38" fillId="0" borderId="4" xfId="0" applyFont="true" applyBorder="true" applyAlignment="true" applyProtection="false">
      <alignment horizontal="center" vertical="center" textRotation="0" wrapText="false" indent="0" shrinkToFit="false"/>
      <protection locked="true" hidden="false"/>
    </xf>
    <xf numFmtId="166" fontId="38" fillId="0" borderId="4" xfId="0" applyFont="true" applyBorder="true" applyAlignment="true" applyProtection="false">
      <alignment horizontal="center" vertical="center" textRotation="0" wrapText="false" indent="0" shrinkToFit="false"/>
      <protection locked="true" hidden="false"/>
    </xf>
    <xf numFmtId="168" fontId="38" fillId="0" borderId="4" xfId="0" applyFont="true" applyBorder="true" applyAlignment="true" applyProtection="false">
      <alignment horizontal="center" vertical="center" textRotation="0" wrapText="false" indent="0" shrinkToFit="false"/>
      <protection locked="true" hidden="false"/>
    </xf>
    <xf numFmtId="164" fontId="41" fillId="12" borderId="0" xfId="0" applyFont="true" applyBorder="false" applyAlignment="false" applyProtection="false">
      <alignment horizontal="general" vertical="bottom" textRotation="0" wrapText="false" indent="0" shrinkToFit="false"/>
      <protection locked="true" hidden="false"/>
    </xf>
    <xf numFmtId="169" fontId="41" fillId="12" borderId="0" xfId="0" applyFont="true" applyBorder="false" applyAlignment="true" applyProtection="false">
      <alignment horizontal="center" vertical="bottom" textRotation="0" wrapText="false" indent="0" shrinkToFit="false"/>
      <protection locked="true" hidden="false"/>
    </xf>
    <xf numFmtId="166" fontId="41" fillId="12" borderId="0" xfId="0" applyFont="true" applyBorder="false" applyAlignment="true" applyProtection="false">
      <alignment horizontal="center" vertical="bottom" textRotation="0" wrapText="false" indent="0" shrinkToFit="false"/>
      <protection locked="true" hidden="false"/>
    </xf>
    <xf numFmtId="169" fontId="41" fillId="12" borderId="0" xfId="0" applyFont="true" applyBorder="false" applyAlignment="true" applyProtection="false">
      <alignment horizontal="center" vertical="center" textRotation="0" wrapText="false" indent="0" shrinkToFit="false"/>
      <protection locked="true" hidden="false"/>
    </xf>
    <xf numFmtId="168" fontId="41" fillId="12" borderId="0" xfId="0" applyFont="true" applyBorder="false" applyAlignment="true" applyProtection="false">
      <alignment horizontal="center" vertical="center"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39" fillId="9" borderId="4" xfId="0" applyFont="true" applyBorder="true" applyAlignment="false" applyProtection="false">
      <alignment horizontal="general" vertical="bottom" textRotation="0" wrapText="false" indent="0" shrinkToFit="false"/>
      <protection locked="true" hidden="false"/>
    </xf>
    <xf numFmtId="164" fontId="39" fillId="9" borderId="4" xfId="0" applyFont="true" applyBorder="true" applyAlignment="true" applyProtection="false">
      <alignment horizontal="center" vertical="bottom" textRotation="0" wrapText="false" indent="0" shrinkToFit="false"/>
      <protection locked="true" hidden="false"/>
    </xf>
    <xf numFmtId="166" fontId="38" fillId="0" borderId="4" xfId="0" applyFont="true" applyBorder="true" applyAlignment="true" applyProtection="false">
      <alignment horizontal="center" vertical="bottom" textRotation="0" wrapText="false" indent="0" shrinkToFit="false"/>
      <protection locked="true" hidden="false"/>
    </xf>
    <xf numFmtId="166" fontId="38" fillId="10" borderId="4"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35" fillId="0" borderId="0" xfId="0" applyFont="true" applyBorder="true" applyAlignment="true" applyProtection="false">
      <alignment horizontal="center" vertical="center" textRotation="0" wrapText="false" indent="0" shrinkToFit="false"/>
      <protection locked="true" hidden="false"/>
    </xf>
    <xf numFmtId="164" fontId="37" fillId="0" borderId="0" xfId="0" applyFont="true" applyBorder="true" applyAlignment="true" applyProtection="false">
      <alignment horizontal="center" vertical="center" textRotation="0" wrapText="false" indent="0" shrinkToFit="false"/>
      <protection locked="true" hidden="false"/>
    </xf>
    <xf numFmtId="164" fontId="39" fillId="9" borderId="4" xfId="0" applyFont="true" applyBorder="true" applyAlignment="true" applyProtection="false">
      <alignment horizontal="center" vertical="center" textRotation="0" wrapText="true" indent="0" shrinkToFit="false"/>
      <protection locked="true" hidden="false"/>
    </xf>
    <xf numFmtId="164" fontId="39" fillId="9" borderId="0" xfId="0" applyFont="true" applyBorder="false" applyAlignment="true" applyProtection="false">
      <alignment horizontal="center" vertical="center" textRotation="0" wrapText="true" indent="0" shrinkToFit="false"/>
      <protection locked="true" hidden="false"/>
    </xf>
    <xf numFmtId="164" fontId="43" fillId="13" borderId="4" xfId="0" applyFont="true" applyBorder="true" applyAlignment="false" applyProtection="false">
      <alignment horizontal="general" vertical="bottom" textRotation="0" wrapText="false" indent="0" shrinkToFit="false"/>
      <protection locked="true" hidden="false"/>
    </xf>
    <xf numFmtId="164" fontId="0" fillId="13" borderId="4" xfId="0" applyFont="false" applyBorder="true" applyAlignment="false" applyProtection="false">
      <alignment horizontal="general" vertical="bottom" textRotation="0" wrapText="false" indent="0" shrinkToFit="false"/>
      <protection locked="true" hidden="false"/>
    </xf>
    <xf numFmtId="169" fontId="43" fillId="13" borderId="4" xfId="0" applyFont="true" applyBorder="true" applyAlignment="true" applyProtection="false">
      <alignment horizontal="center" vertical="center" textRotation="0" wrapText="false" indent="0" shrinkToFit="false"/>
      <protection locked="true" hidden="false"/>
    </xf>
    <xf numFmtId="166" fontId="43" fillId="13" borderId="4" xfId="0" applyFont="true" applyBorder="true" applyAlignment="true" applyProtection="false">
      <alignment horizontal="center" vertical="center" textRotation="0" wrapText="false" indent="0" shrinkToFit="false"/>
      <protection locked="true" hidden="false"/>
    </xf>
    <xf numFmtId="170" fontId="0" fillId="0" borderId="0" xfId="0" applyFont="false" applyBorder="false" applyAlignment="true" applyProtection="false">
      <alignment horizontal="center" vertical="bottom" textRotation="0" wrapText="false" indent="0" shrinkToFit="false"/>
      <protection locked="true" hidden="false"/>
    </xf>
    <xf numFmtId="164" fontId="0" fillId="10" borderId="4"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38" fillId="14" borderId="5" xfId="0" applyFont="true" applyBorder="true" applyAlignment="true" applyProtection="false">
      <alignment horizontal="center" vertical="bottom" textRotation="0" wrapText="false" indent="0" shrinkToFit="false"/>
      <protection locked="true" hidden="false"/>
    </xf>
    <xf numFmtId="164" fontId="38" fillId="14" borderId="5" xfId="0" applyFont="true" applyBorder="true" applyAlignment="false" applyProtection="false">
      <alignment horizontal="general" vertical="bottom" textRotation="0" wrapText="false" indent="0" shrinkToFit="false"/>
      <protection locked="true" hidden="false"/>
    </xf>
    <xf numFmtId="171" fontId="38" fillId="14" borderId="5" xfId="0" applyFont="true" applyBorder="true" applyAlignment="true" applyProtection="false">
      <alignment horizontal="center" vertical="bottom" textRotation="0" wrapText="false" indent="0" shrinkToFit="false"/>
      <protection locked="true" hidden="false"/>
    </xf>
    <xf numFmtId="164" fontId="38" fillId="15" borderId="5" xfId="0" applyFont="true" applyBorder="true" applyAlignment="true" applyProtection="false">
      <alignment horizontal="center" vertical="bottom" textRotation="0" wrapText="false" indent="0" shrinkToFit="false"/>
      <protection locked="true" hidden="false"/>
    </xf>
    <xf numFmtId="164" fontId="38" fillId="15" borderId="5" xfId="0" applyFont="true" applyBorder="true" applyAlignment="false" applyProtection="false">
      <alignment horizontal="general" vertical="bottom" textRotation="0" wrapText="false" indent="0" shrinkToFit="false"/>
      <protection locked="true" hidden="false"/>
    </xf>
    <xf numFmtId="171" fontId="38" fillId="15" borderId="5" xfId="0" applyFont="true" applyBorder="true" applyAlignment="true" applyProtection="false">
      <alignment horizontal="center" vertical="bottom" textRotation="0" wrapText="false" indent="0" shrinkToFit="false"/>
      <protection locked="true" hidden="false"/>
    </xf>
    <xf numFmtId="164" fontId="38" fillId="16" borderId="5" xfId="0" applyFont="true" applyBorder="true" applyAlignment="true" applyProtection="false">
      <alignment horizontal="center" vertical="bottom" textRotation="0" wrapText="false" indent="0" shrinkToFit="false"/>
      <protection locked="true" hidden="false"/>
    </xf>
    <xf numFmtId="164" fontId="38" fillId="16" borderId="5" xfId="0" applyFont="true" applyBorder="true" applyAlignment="false" applyProtection="false">
      <alignment horizontal="general" vertical="bottom" textRotation="0" wrapText="false" indent="0" shrinkToFit="false"/>
      <protection locked="true" hidden="false"/>
    </xf>
    <xf numFmtId="171" fontId="38" fillId="16" borderId="5" xfId="0" applyFont="true" applyBorder="true" applyAlignment="true" applyProtection="false">
      <alignment horizontal="center" vertical="bottom" textRotation="0" wrapText="false" indent="0" shrinkToFit="false"/>
      <protection locked="true" hidden="false"/>
    </xf>
    <xf numFmtId="164" fontId="38" fillId="17" borderId="5" xfId="0" applyFont="true" applyBorder="true" applyAlignment="true" applyProtection="false">
      <alignment horizontal="center" vertical="bottom" textRotation="0" wrapText="false" indent="0" shrinkToFit="false"/>
      <protection locked="true" hidden="false"/>
    </xf>
    <xf numFmtId="164" fontId="38" fillId="17" borderId="5" xfId="0" applyFont="true" applyBorder="true" applyAlignment="false" applyProtection="false">
      <alignment horizontal="general" vertical="bottom" textRotation="0" wrapText="false" indent="0" shrinkToFit="false"/>
      <protection locked="true" hidden="false"/>
    </xf>
    <xf numFmtId="171" fontId="38" fillId="17" borderId="5" xfId="0" applyFont="true" applyBorder="true" applyAlignment="true" applyProtection="false">
      <alignment horizontal="center" vertical="bottom" textRotation="0" wrapText="false" indent="0" shrinkToFit="false"/>
      <protection locked="true" hidden="false"/>
    </xf>
    <xf numFmtId="164" fontId="38" fillId="18" borderId="5" xfId="0" applyFont="true" applyBorder="true" applyAlignment="true" applyProtection="false">
      <alignment horizontal="center" vertical="bottom" textRotation="0" wrapText="false" indent="0" shrinkToFit="false"/>
      <protection locked="true" hidden="false"/>
    </xf>
    <xf numFmtId="164" fontId="38" fillId="18" borderId="5" xfId="0" applyFont="true" applyBorder="true" applyAlignment="false" applyProtection="false">
      <alignment horizontal="general" vertical="bottom" textRotation="0" wrapText="false" indent="0" shrinkToFit="false"/>
      <protection locked="true" hidden="false"/>
    </xf>
    <xf numFmtId="171" fontId="38" fillId="18" borderId="5" xfId="0" applyFont="true" applyBorder="true" applyAlignment="true" applyProtection="false">
      <alignment horizontal="center" vertical="bottom" textRotation="0" wrapText="false" indent="0" shrinkToFit="false"/>
      <protection locked="true" hidden="false"/>
    </xf>
    <xf numFmtId="164" fontId="38" fillId="15" borderId="6" xfId="0" applyFont="true" applyBorder="true" applyAlignment="true" applyProtection="false">
      <alignment horizontal="center" vertical="bottom" textRotation="0" wrapText="false" indent="0" shrinkToFit="false"/>
      <protection locked="true" hidden="false"/>
    </xf>
    <xf numFmtId="164" fontId="38" fillId="15" borderId="6" xfId="0" applyFont="true" applyBorder="true" applyAlignment="false" applyProtection="false">
      <alignment horizontal="general" vertical="bottom" textRotation="0" wrapText="false" indent="0" shrinkToFit="false"/>
      <protection locked="true" hidden="false"/>
    </xf>
    <xf numFmtId="171" fontId="38" fillId="15" borderId="6" xfId="0" applyFont="true" applyBorder="true" applyAlignment="true" applyProtection="false">
      <alignment horizontal="center" vertical="bottom" textRotation="0" wrapText="false" indent="0" shrinkToFit="false"/>
      <protection locked="true" hidden="false"/>
    </xf>
    <xf numFmtId="164" fontId="38" fillId="19" borderId="5" xfId="0" applyFont="true" applyBorder="true" applyAlignment="true" applyProtection="false">
      <alignment horizontal="center" vertical="bottom" textRotation="0" wrapText="false" indent="0" shrinkToFit="false"/>
      <protection locked="true" hidden="false"/>
    </xf>
    <xf numFmtId="164" fontId="38" fillId="19" borderId="5" xfId="0" applyFont="true" applyBorder="true" applyAlignment="false" applyProtection="false">
      <alignment horizontal="general" vertical="bottom" textRotation="0" wrapText="false" indent="0" shrinkToFit="false"/>
      <protection locked="true" hidden="false"/>
    </xf>
    <xf numFmtId="171" fontId="38" fillId="19" borderId="5" xfId="0" applyFont="true" applyBorder="true" applyAlignment="true" applyProtection="false">
      <alignment horizontal="center" vertical="bottom" textRotation="0" wrapText="false" indent="0" shrinkToFit="false"/>
      <protection locked="true" hidden="false"/>
    </xf>
    <xf numFmtId="164" fontId="38" fillId="20" borderId="5" xfId="0" applyFont="true" applyBorder="true" applyAlignment="true" applyProtection="false">
      <alignment horizontal="center" vertical="bottom" textRotation="0" wrapText="false" indent="0" shrinkToFit="false"/>
      <protection locked="true" hidden="false"/>
    </xf>
    <xf numFmtId="164" fontId="38" fillId="20" borderId="5" xfId="0" applyFont="true" applyBorder="true" applyAlignment="false" applyProtection="false">
      <alignment horizontal="general" vertical="bottom" textRotation="0" wrapText="false" indent="0" shrinkToFit="false"/>
      <protection locked="true" hidden="false"/>
    </xf>
    <xf numFmtId="171" fontId="38" fillId="20" borderId="5" xfId="0" applyFont="true" applyBorder="true" applyAlignment="true" applyProtection="false">
      <alignment horizontal="center" vertical="bottom" textRotation="0" wrapText="false" indent="0" shrinkToFit="false"/>
      <protection locked="true" hidden="false"/>
    </xf>
    <xf numFmtId="164" fontId="38" fillId="21" borderId="6" xfId="0" applyFont="true" applyBorder="true" applyAlignment="true" applyProtection="false">
      <alignment horizontal="center" vertical="bottom" textRotation="0" wrapText="false" indent="0" shrinkToFit="false"/>
      <protection locked="true" hidden="false"/>
    </xf>
    <xf numFmtId="164" fontId="38" fillId="21" borderId="6" xfId="0" applyFont="true" applyBorder="true" applyAlignment="false" applyProtection="false">
      <alignment horizontal="general" vertical="bottom" textRotation="0" wrapText="false" indent="0" shrinkToFit="false"/>
      <protection locked="true" hidden="false"/>
    </xf>
    <xf numFmtId="171" fontId="38" fillId="21" borderId="6" xfId="0" applyFont="true" applyBorder="true" applyAlignment="true" applyProtection="false">
      <alignment horizontal="center" vertical="bottom" textRotation="0" wrapText="false" indent="0" shrinkToFit="false"/>
      <protection locked="true" hidden="false"/>
    </xf>
    <xf numFmtId="164" fontId="38" fillId="21" borderId="5" xfId="0" applyFont="true" applyBorder="true" applyAlignment="true" applyProtection="false">
      <alignment horizontal="center" vertical="bottom" textRotation="0" wrapText="false" indent="0" shrinkToFit="false"/>
      <protection locked="true" hidden="false"/>
    </xf>
    <xf numFmtId="164" fontId="38" fillId="21" borderId="5" xfId="0" applyFont="true" applyBorder="true" applyAlignment="false" applyProtection="false">
      <alignment horizontal="general" vertical="bottom" textRotation="0" wrapText="false" indent="0" shrinkToFit="false"/>
      <protection locked="true" hidden="false"/>
    </xf>
    <xf numFmtId="171" fontId="38" fillId="21" borderId="5" xfId="0" applyFont="true" applyBorder="true" applyAlignment="true" applyProtection="false">
      <alignment horizontal="center" vertical="bottom" textRotation="0" wrapText="false" indent="0" shrinkToFit="false"/>
      <protection locked="true" hidden="false"/>
    </xf>
    <xf numFmtId="164" fontId="38" fillId="18" borderId="7" xfId="0" applyFont="true" applyBorder="true" applyAlignment="true" applyProtection="false">
      <alignment horizontal="center" vertical="bottom" textRotation="0" wrapText="false" indent="0" shrinkToFit="false"/>
      <protection locked="true" hidden="false"/>
    </xf>
    <xf numFmtId="164" fontId="38" fillId="18" borderId="7" xfId="0" applyFont="true" applyBorder="true" applyAlignment="false" applyProtection="false">
      <alignment horizontal="general" vertical="bottom" textRotation="0" wrapText="false" indent="0" shrinkToFit="false"/>
      <protection locked="true" hidden="false"/>
    </xf>
    <xf numFmtId="171" fontId="38" fillId="18" borderId="7" xfId="0" applyFont="true" applyBorder="true" applyAlignment="true" applyProtection="false">
      <alignment horizontal="center" vertical="bottom" textRotation="0" wrapText="false" indent="0" shrinkToFit="false"/>
      <protection locked="true" hidden="false"/>
    </xf>
    <xf numFmtId="164" fontId="38" fillId="20" borderId="7" xfId="0" applyFont="true" applyBorder="true" applyAlignment="true" applyProtection="false">
      <alignment horizontal="center" vertical="bottom" textRotation="0" wrapText="false" indent="0" shrinkToFit="false"/>
      <protection locked="true" hidden="false"/>
    </xf>
    <xf numFmtId="164" fontId="38" fillId="20" borderId="7" xfId="0" applyFont="true" applyBorder="true" applyAlignment="false" applyProtection="false">
      <alignment horizontal="general" vertical="bottom" textRotation="0" wrapText="false" indent="0" shrinkToFit="false"/>
      <protection locked="true" hidden="false"/>
    </xf>
    <xf numFmtId="171" fontId="38" fillId="20" borderId="7" xfId="0" applyFont="true" applyBorder="true" applyAlignment="true" applyProtection="false">
      <alignment horizontal="center" vertical="bottom" textRotation="0" wrapText="false" indent="0" shrinkToFit="false"/>
      <protection locked="true" hidden="false"/>
    </xf>
    <xf numFmtId="164" fontId="44" fillId="0" borderId="0" xfId="0" applyFont="true" applyBorder="true" applyAlignment="false" applyProtection="false">
      <alignment horizontal="general" vertical="bottom" textRotation="0" wrapText="false" indent="0" shrinkToFit="false"/>
      <protection locked="true" hidden="false"/>
    </xf>
    <xf numFmtId="164" fontId="45" fillId="0" borderId="0" xfId="0" applyFont="true" applyBorder="true" applyAlignment="false" applyProtection="false">
      <alignment horizontal="general" vertical="bottom" textRotation="0" wrapText="false" indent="0" shrinkToFit="false"/>
      <protection locked="true" hidden="false"/>
    </xf>
    <xf numFmtId="164" fontId="43" fillId="22" borderId="8" xfId="0" applyFont="true" applyBorder="true" applyAlignment="true" applyProtection="false">
      <alignment horizontal="center" vertical="center" textRotation="0" wrapText="tru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46" fillId="22" borderId="8" xfId="0" applyFont="true" applyBorder="true" applyAlignment="true" applyProtection="false">
      <alignment horizontal="center" vertical="center" textRotation="0" wrapText="tru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43" fillId="9" borderId="8" xfId="0" applyFont="true" applyBorder="true" applyAlignment="true" applyProtection="false">
      <alignment horizontal="center" vertical="center" textRotation="0" wrapText="true" indent="0" shrinkToFit="false"/>
      <protection locked="true" hidden="false"/>
    </xf>
    <xf numFmtId="164" fontId="46" fillId="9" borderId="8" xfId="0" applyFont="true" applyBorder="true" applyAlignment="true" applyProtection="false">
      <alignment horizontal="center" vertical="center" textRotation="0" wrapText="true" indent="0" shrinkToFit="false"/>
      <protection locked="true" hidden="false"/>
    </xf>
    <xf numFmtId="164" fontId="40" fillId="13" borderId="8" xfId="0" applyFont="true" applyBorder="true" applyAlignment="true" applyProtection="false">
      <alignment horizontal="center" vertical="center" textRotation="0" wrapText="true" indent="0" shrinkToFit="false"/>
      <protection locked="true" hidden="false"/>
    </xf>
    <xf numFmtId="164" fontId="47" fillId="13" borderId="8" xfId="0" applyFont="true" applyBorder="true" applyAlignment="true" applyProtection="false">
      <alignment horizontal="center" vertical="center" textRotation="0" wrapText="tru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4" fontId="0" fillId="22" borderId="0" xfId="0" applyFont="fals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49" fillId="0" borderId="0" xfId="0" applyFont="true" applyBorder="true" applyAlignment="false" applyProtection="false">
      <alignment horizontal="general" vertical="bottom" textRotation="0" wrapText="false" indent="0" shrinkToFit="false"/>
      <protection locked="true" hidden="false"/>
    </xf>
    <xf numFmtId="164" fontId="50" fillId="0" borderId="0" xfId="0" applyFont="true" applyBorder="true" applyAlignment="false" applyProtection="false">
      <alignment horizontal="general" vertical="bottom" textRotation="0" wrapText="false" indent="0" shrinkToFit="false"/>
      <protection locked="true" hidden="false"/>
    </xf>
    <xf numFmtId="164" fontId="51" fillId="6" borderId="0" xfId="0" applyFont="true" applyBorder="false" applyAlignment="true" applyProtection="false">
      <alignment horizontal="center" vertical="center" textRotation="0" wrapText="false" indent="0" shrinkToFit="false"/>
      <protection locked="true" hidden="false"/>
    </xf>
    <xf numFmtId="164" fontId="25" fillId="2" borderId="0" xfId="0" applyFont="true" applyBorder="false" applyAlignment="true" applyProtection="false">
      <alignment horizontal="center" vertical="center" textRotation="0" wrapText="false" indent="0" shrinkToFit="false"/>
      <protection locked="true" hidden="false"/>
    </xf>
    <xf numFmtId="164" fontId="52" fillId="5" borderId="12" xfId="0" applyFont="true" applyBorder="true" applyAlignment="false" applyProtection="false">
      <alignment horizontal="general" vertical="bottom" textRotation="0" wrapText="false" indent="0" shrinkToFit="false"/>
      <protection locked="true" hidden="false"/>
    </xf>
    <xf numFmtId="164" fontId="52" fillId="5" borderId="12" xfId="0" applyFont="true" applyBorder="true" applyAlignment="true" applyProtection="false">
      <alignment horizontal="center" vertical="bottom" textRotation="0" wrapText="false" indent="0" shrinkToFit="false"/>
      <protection locked="true" hidden="false"/>
    </xf>
    <xf numFmtId="164" fontId="53" fillId="5" borderId="12" xfId="0" applyFont="true" applyBorder="true" applyAlignment="false" applyProtection="false">
      <alignment horizontal="general" vertical="bottom" textRotation="0" wrapText="false" indent="0" shrinkToFit="false"/>
      <protection locked="true" hidden="false"/>
    </xf>
    <xf numFmtId="164" fontId="54" fillId="5" borderId="12" xfId="0" applyFont="true" applyBorder="true" applyAlignment="false" applyProtection="false">
      <alignment horizontal="general" vertical="bottom" textRotation="0" wrapText="false" indent="0" shrinkToFit="false"/>
      <protection locked="true" hidden="false"/>
    </xf>
    <xf numFmtId="164" fontId="55" fillId="5" borderId="12" xfId="0" applyFont="true" applyBorder="true" applyAlignment="true" applyProtection="false">
      <alignment horizontal="center" vertical="bottom" textRotation="0" wrapText="false" indent="0" shrinkToFit="false"/>
      <protection locked="true" hidden="false"/>
    </xf>
    <xf numFmtId="164" fontId="0" fillId="5" borderId="12" xfId="0" applyFont="false" applyBorder="true" applyAlignment="false" applyProtection="false">
      <alignment horizontal="general" vertical="bottom" textRotation="0" wrapText="false" indent="0" shrinkToFit="false"/>
      <protection locked="true" hidden="false"/>
    </xf>
    <xf numFmtId="164" fontId="56" fillId="5" borderId="12" xfId="0" applyFont="true" applyBorder="true" applyAlignment="true" applyProtection="false">
      <alignment horizontal="center"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52" fillId="4" borderId="12" xfId="0" applyFont="true" applyBorder="true" applyAlignment="false" applyProtection="false">
      <alignment horizontal="general" vertical="bottom" textRotation="0" wrapText="false" indent="0" shrinkToFit="false"/>
      <protection locked="true" hidden="false"/>
    </xf>
    <xf numFmtId="164" fontId="52" fillId="4" borderId="12" xfId="0" applyFont="true" applyBorder="true" applyAlignment="true" applyProtection="false">
      <alignment horizontal="center" vertical="bottom" textRotation="0" wrapText="false" indent="0" shrinkToFit="false"/>
      <protection locked="true" hidden="false"/>
    </xf>
    <xf numFmtId="164" fontId="53" fillId="4" borderId="12" xfId="0" applyFont="true" applyBorder="true" applyAlignment="false" applyProtection="false">
      <alignment horizontal="general" vertical="bottom" textRotation="0" wrapText="false" indent="0" shrinkToFit="false"/>
      <protection locked="true" hidden="false"/>
    </xf>
    <xf numFmtId="164" fontId="56" fillId="4" borderId="12" xfId="0" applyFont="true" applyBorder="true" applyAlignment="true" applyProtection="false">
      <alignment horizontal="center" vertical="bottom" textRotation="0" wrapText="false" indent="0" shrinkToFit="false"/>
      <protection locked="true" hidden="false"/>
    </xf>
    <xf numFmtId="164" fontId="0" fillId="4" borderId="12" xfId="0" applyFont="false" applyBorder="true" applyAlignment="false" applyProtection="false">
      <alignment horizontal="general" vertical="bottom" textRotation="0" wrapText="false" indent="0" shrinkToFit="false"/>
      <protection locked="true" hidden="false"/>
    </xf>
    <xf numFmtId="164" fontId="54" fillId="4" borderId="12" xfId="0" applyFont="true" applyBorder="true" applyAlignment="false" applyProtection="false">
      <alignment horizontal="general" vertical="bottom" textRotation="0" wrapText="false" indent="0" shrinkToFit="false"/>
      <protection locked="true" hidden="false"/>
    </xf>
    <xf numFmtId="164" fontId="55" fillId="4" borderId="12" xfId="0" applyFont="true" applyBorder="tru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57" fillId="5" borderId="12" xfId="0" applyFont="true" applyBorder="true" applyAlignment="false" applyProtection="false">
      <alignment horizontal="general" vertical="bottom" textRotation="0" wrapText="false" indent="0" shrinkToFit="false"/>
      <protection locked="true" hidden="false"/>
    </xf>
    <xf numFmtId="164" fontId="58" fillId="5" borderId="12" xfId="0" applyFont="true" applyBorder="true" applyAlignment="false" applyProtection="false">
      <alignment horizontal="general" vertical="bottom" textRotation="0" wrapText="false" indent="0" shrinkToFit="false"/>
      <protection locked="true" hidden="false"/>
    </xf>
    <xf numFmtId="164" fontId="57" fillId="4" borderId="12" xfId="0" applyFont="true" applyBorder="true" applyAlignment="false" applyProtection="false">
      <alignment horizontal="general" vertical="bottom" textRotation="0" wrapText="false" indent="0" shrinkToFit="false"/>
      <protection locked="true" hidden="false"/>
    </xf>
    <xf numFmtId="164" fontId="58" fillId="4" borderId="12" xfId="0" applyFont="true" applyBorder="true" applyAlignment="false" applyProtection="false">
      <alignment horizontal="general" vertical="bottom" textRotation="0" wrapText="false" indent="0" shrinkToFit="false"/>
      <protection locked="true" hidden="false"/>
    </xf>
    <xf numFmtId="164" fontId="59" fillId="23" borderId="0" xfId="0" applyFont="true" applyBorder="true" applyAlignment="false" applyProtection="false">
      <alignment horizontal="general" vertical="bottom" textRotation="0" wrapText="false" indent="0" shrinkToFit="false"/>
      <protection locked="true" hidden="false"/>
    </xf>
    <xf numFmtId="164" fontId="60" fillId="6" borderId="12" xfId="0" applyFont="true" applyBorder="true" applyAlignment="false" applyProtection="false">
      <alignment horizontal="general" vertical="bottom" textRotation="0" wrapText="false" indent="0" shrinkToFit="false"/>
      <protection locked="true" hidden="false"/>
    </xf>
    <xf numFmtId="164" fontId="53" fillId="0" borderId="12" xfId="0" applyFont="true" applyBorder="true" applyAlignment="false" applyProtection="false">
      <alignment horizontal="general" vertical="bottom" textRotation="0" wrapText="false" indent="0" shrinkToFit="false"/>
      <protection locked="true" hidden="false"/>
    </xf>
    <xf numFmtId="164" fontId="61" fillId="0" borderId="1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ont>
        <b val="1"/>
        <color rgb="FF2E7D32"/>
      </font>
      <fill>
        <patternFill>
          <bgColor rgb="FFD9EAD3"/>
        </patternFill>
      </fill>
    </dxf>
    <dxf>
      <font>
        <b val="1"/>
        <color rgb="FFC00000"/>
      </font>
      <fill>
        <patternFill>
          <bgColor rgb="FFF8D7DA"/>
        </patternFill>
      </fill>
    </dxf>
    <dxf>
      <font>
        <b val="1"/>
        <color rgb="FF9C6500"/>
      </font>
      <fill>
        <patternFill>
          <bgColor rgb="FFFFF3CD"/>
        </patternFill>
      </fill>
    </dxf>
    <dxf>
      <fill>
        <patternFill patternType="solid">
          <fgColor rgb="FF173654"/>
          <bgColor rgb="FF000000"/>
        </patternFill>
      </fill>
    </dxf>
    <dxf>
      <fill>
        <patternFill patternType="solid">
          <fgColor rgb="FFF6F4EE"/>
          <bgColor rgb="FF000000"/>
        </patternFill>
      </fill>
    </dxf>
    <dxf>
      <fill>
        <patternFill patternType="solid">
          <bgColor rgb="FF000000"/>
        </patternFill>
      </fill>
    </dxf>
    <dxf>
      <fill>
        <patternFill patternType="solid">
          <fgColor rgb="FFFFFFFF"/>
          <bgColor rgb="FF000000"/>
        </patternFill>
      </fill>
    </dxf>
    <dxf>
      <fill>
        <patternFill patternType="solid">
          <fgColor rgb="FF8EB4E3"/>
          <bgColor rgb="FF000000"/>
        </patternFill>
      </fill>
    </dxf>
    <dxf>
      <fill>
        <patternFill patternType="solid">
          <fgColor rgb="FF93CDDD"/>
          <bgColor rgb="FF000000"/>
        </patternFill>
      </fill>
    </dxf>
    <dxf>
      <fill>
        <patternFill patternType="solid">
          <fgColor rgb="FFC6D9F1"/>
          <bgColor rgb="FF000000"/>
        </patternFill>
      </fill>
    </dxf>
    <dxf>
      <fill>
        <patternFill patternType="solid">
          <fgColor rgb="FFD7E4BD"/>
          <bgColor rgb="FF000000"/>
        </patternFill>
      </fill>
    </dxf>
    <dxf>
      <fill>
        <patternFill patternType="solid">
          <fgColor rgb="FFE6E0EC"/>
          <bgColor rgb="FF000000"/>
        </patternFill>
      </fill>
    </dxf>
    <dxf>
      <fill>
        <patternFill patternType="solid">
          <fgColor rgb="FFFCD5B5"/>
          <bgColor rgb="FF000000"/>
        </patternFill>
      </fill>
    </dxf>
    <dxf>
      <fill>
        <patternFill patternType="solid">
          <fgColor rgb="FFFDEADA"/>
          <bgColor rgb="FF000000"/>
        </patternFill>
      </fill>
    </dxf>
    <dxf>
      <fill>
        <patternFill patternType="solid">
          <fgColor rgb="FFFFFFCC"/>
          <bgColor rgb="FF000000"/>
        </patternFill>
      </fill>
    </dxf>
  </dxfs>
  <colors>
    <indexedColors>
      <rgbColor rgb="FF000000"/>
      <rgbColor rgb="FFFFFFFF"/>
      <rgbColor rgb="FFC00000"/>
      <rgbColor rgb="FFDAD6CB"/>
      <rgbColor rgb="FF0000FF"/>
      <rgbColor rgb="FFF0DFC0"/>
      <rgbColor rgb="FFF8D7DA"/>
      <rgbColor rgb="FFB8CD97"/>
      <rgbColor rgb="FFF6F4EE"/>
      <rgbColor rgb="FF2E7D32"/>
      <rgbColor rgb="FF000080"/>
      <rgbColor rgb="FF9C6500"/>
      <rgbColor rgb="FF8064A2"/>
      <rgbColor rgb="FF4F81BD"/>
      <rgbColor rgb="FFBFBFBF"/>
      <rgbColor rgb="FF8A8A8A"/>
      <rgbColor rgb="FF93A9CE"/>
      <rgbColor rgb="FFAB4744"/>
      <rgbColor rgb="FFFFFFCC"/>
      <rgbColor rgb="FFDCE6F1"/>
      <rgbColor rgb="FFFDEADA"/>
      <rgbColor rgb="FFDC853E"/>
      <rgbColor rgb="FF2E5C99"/>
      <rgbColor rgb="FFC6D9F1"/>
      <rgbColor rgb="FF000080"/>
      <rgbColor rgb="FFE6E0EC"/>
      <rgbColor rgb="FFD7E4BD"/>
      <rgbColor rgb="FFD9D9D9"/>
      <rgbColor rgb="FFEEECE1"/>
      <rgbColor rgb="FFFFF6E0"/>
      <rgbColor rgb="FF6B6B66"/>
      <rgbColor rgb="FF0000FF"/>
      <rgbColor rgb="FFB7C6DE"/>
      <rgbColor rgb="FFF2F2F2"/>
      <rgbColor rgb="FFD9EAD3"/>
      <rgbColor rgb="FFFFF3CD"/>
      <rgbColor rgb="FF93CDDD"/>
      <rgbColor rgb="FFD09493"/>
      <rgbColor rgb="FFB3B3B3"/>
      <rgbColor rgb="FFFCD5B5"/>
      <rgbColor rgb="FF4672A8"/>
      <rgbColor rgb="FF8EB4E3"/>
      <rgbColor rgb="FF9BBB59"/>
      <rgbColor rgb="FFC9A24B"/>
      <rgbColor rgb="FFE8A33D"/>
      <rgbColor rgb="FFC8892B"/>
      <rgbColor rgb="FF5B6B87"/>
      <rgbColor rgb="FF8AA64F"/>
      <rgbColor rgb="FF173654"/>
      <rgbColor rgb="FF4299B0"/>
      <rgbColor rgb="FF0F2740"/>
      <rgbColor rgb="FF725990"/>
      <rgbColor rgb="FFA8402E"/>
      <rgbColor rgb="FFC0504D"/>
      <rgbColor rgb="FF59595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Sites par antenne (parc solaire)</a:t>
            </a:r>
          </a:p>
        </c:rich>
      </c:tx>
      <c:overlay val="0"/>
      <c:spPr>
        <a:noFill/>
        <a:ln w="0">
          <a:noFill/>
        </a:ln>
      </c:spPr>
    </c:title>
    <c:autoTitleDeleted val="0"/>
    <c:plotArea>
      <c:barChart>
        <c:barDir val="col"/>
        <c:grouping val="clustered"/>
        <c:varyColors val="0"/>
        <c:ser>
          <c:idx val="0"/>
          <c:order val="0"/>
          <c:tx>
            <c:strRef>
              <c:f>Dashboard!D14</c:f>
              <c:strCache>
                <c:ptCount val="1"/>
                <c:pt idx="0">
                  <c:v>Nb sites</c:v>
                </c:pt>
              </c:strCache>
            </c:strRef>
          </c:tx>
          <c:spPr>
            <a:solidFill>
              <a:srgbClr val="2e5c9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Dashboard!$A$15:$A$23</c:f>
              <c:strCache>
                <c:ptCount val="9"/>
                <c:pt idx="0">
                  <c:v>Antenne Bamenda</c:v>
                </c:pt>
                <c:pt idx="1">
                  <c:v>Antenne Limbé</c:v>
                </c:pt>
                <c:pt idx="2">
                  <c:v>Antenne Nkongsamba</c:v>
                </c:pt>
                <c:pt idx="3">
                  <c:v>Antenne Garoua</c:v>
                </c:pt>
                <c:pt idx="4">
                  <c:v>Antenne Maroua</c:v>
                </c:pt>
                <c:pt idx="5">
                  <c:v>Antenne Ngaoundéré</c:v>
                </c:pt>
                <c:pt idx="6">
                  <c:v>Siège Yaoundé</c:v>
                </c:pt>
                <c:pt idx="7">
                  <c:v>Antenne Bertoua</c:v>
                </c:pt>
                <c:pt idx="8">
                  <c:v>Antenne Ebolowa</c:v>
                </c:pt>
              </c:strCache>
            </c:strRef>
          </c:cat>
          <c:val>
            <c:numRef>
              <c:f>Dashboard!$D$15:$D$23</c:f>
              <c:numCache>
                <c:formatCode>#,##0</c:formatCode>
                <c:ptCount val="9"/>
                <c:pt idx="0">
                  <c:v>79</c:v>
                </c:pt>
                <c:pt idx="1">
                  <c:v>50</c:v>
                </c:pt>
                <c:pt idx="2">
                  <c:v>29</c:v>
                </c:pt>
                <c:pt idx="3">
                  <c:v>46</c:v>
                </c:pt>
                <c:pt idx="4">
                  <c:v>34</c:v>
                </c:pt>
                <c:pt idx="5">
                  <c:v>55</c:v>
                </c:pt>
                <c:pt idx="6">
                  <c:v>71</c:v>
                </c:pt>
                <c:pt idx="7">
                  <c:v>68</c:v>
                </c:pt>
                <c:pt idx="8">
                  <c:v>67</c:v>
                </c:pt>
              </c:numCache>
            </c:numRef>
          </c:val>
        </c:ser>
        <c:gapWidth val="150"/>
        <c:overlap val="0"/>
        <c:axId val="31923972"/>
        <c:axId val="33104339"/>
      </c:barChart>
      <c:catAx>
        <c:axId val="31923972"/>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3104339"/>
        <c:crosses val="autoZero"/>
        <c:auto val="1"/>
        <c:lblAlgn val="ctr"/>
        <c:lblOffset val="100"/>
        <c:noMultiLvlLbl val="0"/>
      </c:catAx>
      <c:valAx>
        <c:axId val="33104339"/>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Nombre de sites</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192397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Répartition de la puissance (kWc) par antenne</a:t>
            </a:r>
          </a:p>
        </c:rich>
      </c:tx>
      <c:overlay val="0"/>
      <c:spPr>
        <a:noFill/>
        <a:ln w="0">
          <a:noFill/>
        </a:ln>
      </c:spPr>
    </c:title>
    <c:autoTitleDeleted val="0"/>
    <c:plotArea>
      <c:pieChart>
        <c:varyColors val="1"/>
        <c:ser>
          <c:idx val="0"/>
          <c:order val="0"/>
          <c:tx>
            <c:strRef>
              <c:f>Dashboard!E14</c:f>
              <c:strCache>
                <c:ptCount val="1"/>
                <c:pt idx="0">
                  <c:v>Puissance (kWc)</c:v>
                </c:pt>
              </c:strCache>
            </c:strRef>
          </c:tx>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Pt>
            <c:idx val="8"/>
            <c:spPr>
              <a:solidFill>
                <a:srgbClr val="b8cd97"/>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4"/>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5"/>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6"/>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7"/>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8"/>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Dashboard!$A$15:$A$23</c:f>
              <c:strCache>
                <c:ptCount val="9"/>
                <c:pt idx="0">
                  <c:v>Antenne Bamenda</c:v>
                </c:pt>
                <c:pt idx="1">
                  <c:v>Antenne Limbé</c:v>
                </c:pt>
                <c:pt idx="2">
                  <c:v>Antenne Nkongsamba</c:v>
                </c:pt>
                <c:pt idx="3">
                  <c:v>Antenne Garoua</c:v>
                </c:pt>
                <c:pt idx="4">
                  <c:v>Antenne Maroua</c:v>
                </c:pt>
                <c:pt idx="5">
                  <c:v>Antenne Ngaoundéré</c:v>
                </c:pt>
                <c:pt idx="6">
                  <c:v>Siège Yaoundé</c:v>
                </c:pt>
                <c:pt idx="7">
                  <c:v>Antenne Bertoua</c:v>
                </c:pt>
                <c:pt idx="8">
                  <c:v>Antenne Ebolowa</c:v>
                </c:pt>
              </c:strCache>
            </c:strRef>
          </c:cat>
          <c:val>
            <c:numRef>
              <c:f>Dashboard!$E$15:$E$23</c:f>
              <c:numCache>
                <c:formatCode>#,##0.0</c:formatCode>
                <c:ptCount val="9"/>
                <c:pt idx="0">
                  <c:v>5234.6</c:v>
                </c:pt>
                <c:pt idx="1">
                  <c:v>2677.6</c:v>
                </c:pt>
                <c:pt idx="2">
                  <c:v>1433.6</c:v>
                </c:pt>
                <c:pt idx="3">
                  <c:v>4341</c:v>
                </c:pt>
                <c:pt idx="4">
                  <c:v>3110.4</c:v>
                </c:pt>
                <c:pt idx="5">
                  <c:v>4312.8</c:v>
                </c:pt>
                <c:pt idx="6">
                  <c:v>4015.2</c:v>
                </c:pt>
                <c:pt idx="7">
                  <c:v>4498.2</c:v>
                </c:pt>
                <c:pt idx="8">
                  <c:v>3198.2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Manques par antenne, par profil (RH terrain)</a:t>
            </a:r>
          </a:p>
        </c:rich>
      </c:tx>
      <c:overlay val="0"/>
      <c:spPr>
        <a:noFill/>
        <a:ln w="0">
          <a:noFill/>
        </a:ln>
      </c:spPr>
    </c:title>
    <c:autoTitleDeleted val="0"/>
    <c:plotArea>
      <c:barChart>
        <c:barDir val="col"/>
        <c:grouping val="stacked"/>
        <c:varyColors val="0"/>
        <c:ser>
          <c:idx val="0"/>
          <c:order val="0"/>
          <c:tx>
            <c:strRef>
              <c:f>Dashboard!C28</c:f>
              <c:strCache>
                <c:ptCount val="1"/>
                <c:pt idx="0">
                  <c:v>Ingénieur manquant</c:v>
                </c:pt>
              </c:strCache>
            </c:strRef>
          </c:tx>
          <c:spPr>
            <a:solidFill>
              <a:srgbClr val="c000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Dashboard!$A$29:$A$37</c:f>
              <c:strCache>
                <c:ptCount val="9"/>
                <c:pt idx="0">
                  <c:v>Extreme-Nord</c:v>
                </c:pt>
                <c:pt idx="1">
                  <c:v>Nord</c:v>
                </c:pt>
                <c:pt idx="2">
                  <c:v>Nord-Ouest</c:v>
                </c:pt>
                <c:pt idx="3">
                  <c:v>Adamaoua</c:v>
                </c:pt>
                <c:pt idx="4">
                  <c:v>Est</c:v>
                </c:pt>
                <c:pt idx="5">
                  <c:v>Sud - Centre</c:v>
                </c:pt>
                <c:pt idx="6">
                  <c:v>Sud-Ouest</c:v>
                </c:pt>
                <c:pt idx="7">
                  <c:v>Sud-Ouest NKONSAMBA</c:v>
                </c:pt>
                <c:pt idx="8">
                  <c:v>Siège Yaoundé</c:v>
                </c:pt>
              </c:strCache>
            </c:strRef>
          </c:cat>
          <c:val>
            <c:numRef>
              <c:f>Dashboard!$C$29:$C$37</c:f>
              <c:numCache>
                <c:formatCode>General</c:formatCode>
                <c:ptCount val="9"/>
                <c:pt idx="0">
                  <c:v>1</c:v>
                </c:pt>
                <c:pt idx="1">
                  <c:v>1</c:v>
                </c:pt>
                <c:pt idx="2">
                  <c:v>2</c:v>
                </c:pt>
                <c:pt idx="3">
                  <c:v>0</c:v>
                </c:pt>
                <c:pt idx="4">
                  <c:v>2</c:v>
                </c:pt>
                <c:pt idx="5">
                  <c:v>1</c:v>
                </c:pt>
                <c:pt idx="6">
                  <c:v>1</c:v>
                </c:pt>
                <c:pt idx="7">
                  <c:v>2</c:v>
                </c:pt>
                <c:pt idx="8">
                  <c:v>0</c:v>
                </c:pt>
              </c:numCache>
            </c:numRef>
          </c:val>
        </c:ser>
        <c:ser>
          <c:idx val="1"/>
          <c:order val="1"/>
          <c:tx>
            <c:strRef>
              <c:f>Dashboard!D28</c:f>
              <c:strCache>
                <c:ptCount val="1"/>
                <c:pt idx="0">
                  <c:v>Technicien manquant</c:v>
                </c:pt>
              </c:strCache>
            </c:strRef>
          </c:tx>
          <c:spPr>
            <a:solidFill>
              <a:srgbClr val="e8a33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Dashboard!$A$29:$A$37</c:f>
              <c:strCache>
                <c:ptCount val="9"/>
                <c:pt idx="0">
                  <c:v>Extreme-Nord</c:v>
                </c:pt>
                <c:pt idx="1">
                  <c:v>Nord</c:v>
                </c:pt>
                <c:pt idx="2">
                  <c:v>Nord-Ouest</c:v>
                </c:pt>
                <c:pt idx="3">
                  <c:v>Adamaoua</c:v>
                </c:pt>
                <c:pt idx="4">
                  <c:v>Est</c:v>
                </c:pt>
                <c:pt idx="5">
                  <c:v>Sud - Centre</c:v>
                </c:pt>
                <c:pt idx="6">
                  <c:v>Sud-Ouest</c:v>
                </c:pt>
                <c:pt idx="7">
                  <c:v>Sud-Ouest NKONSAMBA</c:v>
                </c:pt>
                <c:pt idx="8">
                  <c:v>Siège Yaoundé</c:v>
                </c:pt>
              </c:strCache>
            </c:strRef>
          </c:cat>
          <c:val>
            <c:numRef>
              <c:f>Dashboard!$D$29:$D$37</c:f>
              <c:numCache>
                <c:formatCode>General</c:formatCode>
                <c:ptCount val="9"/>
                <c:pt idx="0">
                  <c:v>0</c:v>
                </c:pt>
                <c:pt idx="1">
                  <c:v>1</c:v>
                </c:pt>
                <c:pt idx="2">
                  <c:v>0</c:v>
                </c:pt>
                <c:pt idx="3">
                  <c:v>1</c:v>
                </c:pt>
                <c:pt idx="4">
                  <c:v>0</c:v>
                </c:pt>
                <c:pt idx="5">
                  <c:v>0</c:v>
                </c:pt>
                <c:pt idx="6">
                  <c:v>0</c:v>
                </c:pt>
                <c:pt idx="7">
                  <c:v>0</c:v>
                </c:pt>
                <c:pt idx="8">
                  <c:v>1</c:v>
                </c:pt>
              </c:numCache>
            </c:numRef>
          </c:val>
        </c:ser>
        <c:ser>
          <c:idx val="2"/>
          <c:order val="2"/>
          <c:tx>
            <c:strRef>
              <c:f>Dashboard!E28</c:f>
              <c:strCache>
                <c:ptCount val="1"/>
                <c:pt idx="0">
                  <c:v>Chauffeur manquant</c:v>
                </c:pt>
              </c:strCache>
            </c:strRef>
          </c:tx>
          <c:spPr>
            <a:solidFill>
              <a:srgbClr val="2e5c9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Dashboard!$A$29:$A$37</c:f>
              <c:strCache>
                <c:ptCount val="9"/>
                <c:pt idx="0">
                  <c:v>Extreme-Nord</c:v>
                </c:pt>
                <c:pt idx="1">
                  <c:v>Nord</c:v>
                </c:pt>
                <c:pt idx="2">
                  <c:v>Nord-Ouest</c:v>
                </c:pt>
                <c:pt idx="3">
                  <c:v>Adamaoua</c:v>
                </c:pt>
                <c:pt idx="4">
                  <c:v>Est</c:v>
                </c:pt>
                <c:pt idx="5">
                  <c:v>Sud - Centre</c:v>
                </c:pt>
                <c:pt idx="6">
                  <c:v>Sud-Ouest</c:v>
                </c:pt>
                <c:pt idx="7">
                  <c:v>Sud-Ouest NKONSAMBA</c:v>
                </c:pt>
                <c:pt idx="8">
                  <c:v>Siège Yaoundé</c:v>
                </c:pt>
              </c:strCache>
            </c:strRef>
          </c:cat>
          <c:val>
            <c:numRef>
              <c:f>Dashboard!$E$29:$E$37</c:f>
              <c:numCache>
                <c:formatCode>General</c:formatCode>
                <c:ptCount val="9"/>
                <c:pt idx="0">
                  <c:v>0</c:v>
                </c:pt>
                <c:pt idx="1">
                  <c:v>1</c:v>
                </c:pt>
                <c:pt idx="2">
                  <c:v>2</c:v>
                </c:pt>
                <c:pt idx="3">
                  <c:v>0</c:v>
                </c:pt>
                <c:pt idx="4">
                  <c:v>0</c:v>
                </c:pt>
                <c:pt idx="5">
                  <c:v>1</c:v>
                </c:pt>
                <c:pt idx="6">
                  <c:v>0</c:v>
                </c:pt>
                <c:pt idx="7">
                  <c:v>0</c:v>
                </c:pt>
                <c:pt idx="8">
                  <c:v>0</c:v>
                </c:pt>
              </c:numCache>
            </c:numRef>
          </c:val>
        </c:ser>
        <c:gapWidth val="150"/>
        <c:overlap val="100"/>
        <c:axId val="66841499"/>
        <c:axId val="71125036"/>
      </c:barChart>
      <c:catAx>
        <c:axId val="6684149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1125036"/>
        <c:crosses val="autoZero"/>
        <c:auto val="1"/>
        <c:lblAlgn val="ctr"/>
        <c:lblOffset val="100"/>
        <c:noMultiLvlLbl val="0"/>
      </c:catAx>
      <c:valAx>
        <c:axId val="71125036"/>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Postes manquants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684149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Répartition des manques par profil (RH)</a:t>
            </a:r>
          </a:p>
        </c:rich>
      </c:tx>
      <c:overlay val="0"/>
      <c:spPr>
        <a:noFill/>
        <a:ln w="0">
          <a:noFill/>
        </a:ln>
      </c:spPr>
    </c:title>
    <c:autoTitleDeleted val="0"/>
    <c:plotArea>
      <c:pieChart>
        <c:varyColors val="1"/>
        <c:ser>
          <c:idx val="0"/>
          <c:order val="0"/>
          <c:tx>
            <c:strRef>
              <c:f>Dashboard!D42</c:f>
              <c:strCache>
                <c:ptCount val="1"/>
                <c:pt idx="0">
                  <c:v>Manque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Dashboard!$A$43:$A$45</c:f>
              <c:strCache>
                <c:ptCount val="3"/>
                <c:pt idx="0">
                  <c:v>Ingénieur</c:v>
                </c:pt>
                <c:pt idx="1">
                  <c:v>Technicien</c:v>
                </c:pt>
                <c:pt idx="2">
                  <c:v>Chauffeur</c:v>
                </c:pt>
              </c:strCache>
            </c:strRef>
          </c:cat>
          <c:val>
            <c:numRef>
              <c:f>Dashboard!$D$43:$D$45</c:f>
              <c:numCache>
                <c:formatCode>General</c:formatCode>
                <c:ptCount val="3"/>
                <c:pt idx="0">
                  <c:v>10</c:v>
                </c:pt>
                <c:pt idx="1">
                  <c:v>3</c:v>
                </c:pt>
                <c:pt idx="2">
                  <c:v>4</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Taux de complétude des 16 équipes (Complète / Partielle / Critique)</a:t>
            </a:r>
          </a:p>
        </c:rich>
      </c:tx>
      <c:overlay val="0"/>
      <c:spPr>
        <a:noFill/>
        <a:ln w="0">
          <a:noFill/>
        </a:ln>
      </c:spPr>
    </c:title>
    <c:autoTitleDeleted val="0"/>
    <c:plotArea>
      <c:pieChart>
        <c:varyColors val="1"/>
        <c:ser>
          <c:idx val="0"/>
          <c:order val="0"/>
          <c:tx>
            <c:strRef>
              <c:f>Dashboard!R82</c:f>
              <c:strCache>
                <c:ptCount val="1"/>
                <c:pt idx="0">
                  <c:v>Nb équipes</c:v>
                </c:pt>
              </c:strCache>
            </c:strRef>
          </c:tx>
          <c:spPr>
            <a:solidFill>
              <a:srgbClr val="4f81bd"/>
            </a:solidFill>
            <a:ln w="0">
              <a:noFill/>
            </a:ln>
          </c:spPr>
          <c:explosion val="0"/>
          <c:dPt>
            <c:idx val="0"/>
            <c:spPr>
              <a:solidFill>
                <a:srgbClr val="2e7d32"/>
              </a:solidFill>
              <a:ln w="0">
                <a:noFill/>
              </a:ln>
            </c:spPr>
          </c:dPt>
          <c:dPt>
            <c:idx val="1"/>
            <c:spPr>
              <a:solidFill>
                <a:srgbClr val="9c6500"/>
              </a:solidFill>
              <a:ln w="0">
                <a:noFill/>
              </a:ln>
            </c:spPr>
          </c:dPt>
          <c:dPt>
            <c:idx val="2"/>
            <c:spPr>
              <a:solidFill>
                <a:srgbClr val="c00000"/>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Dashboard!$Q$83:$Q$85</c:f>
              <c:strCache>
                <c:ptCount val="3"/>
                <c:pt idx="0">
                  <c:v>Complète</c:v>
                </c:pt>
                <c:pt idx="1">
                  <c:v>Partielle</c:v>
                </c:pt>
                <c:pt idx="2">
                  <c:v>Critique</c:v>
                </c:pt>
              </c:strCache>
            </c:strRef>
          </c:cat>
          <c:val>
            <c:numRef>
              <c:f>Dashboard!$R$83:$R$85</c:f>
              <c:numCache>
                <c:formatCode>General</c:formatCode>
                <c:ptCount val="3"/>
                <c:pt idx="0">
                  <c:v>3</c:v>
                </c:pt>
                <c:pt idx="1">
                  <c:v>13</c:v>
                </c:pt>
                <c:pt idx="2">
                  <c:v>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0"/>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Nombre de sites par antenne / annexe</a:t>
            </a:r>
          </a:p>
        </c:rich>
      </c:tx>
      <c:overlay val="0"/>
      <c:spPr>
        <a:noFill/>
        <a:ln w="0">
          <a:noFill/>
        </a:ln>
      </c:spPr>
    </c:title>
    <c:autoTitleDeleted val="0"/>
    <c:plotArea>
      <c:barChart>
        <c:barDir val="col"/>
        <c:grouping val="clustered"/>
        <c:varyColors val="0"/>
        <c:ser>
          <c:idx val="0"/>
          <c:order val="0"/>
          <c:tx>
            <c:strRef>
              <c:f>'Antennes — Détail solaire'!E4</c:f>
              <c:strCache>
                <c:ptCount val="1"/>
                <c:pt idx="0">
                  <c:v>Nb sites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'Antennes — Détail solaire'!$A$5:$A$13</c:f>
              <c:strCache>
                <c:ptCount val="9"/>
                <c:pt idx="0">
                  <c:v>Antenne Bamenda</c:v>
                </c:pt>
                <c:pt idx="1">
                  <c:v>Antenne Limbé</c:v>
                </c:pt>
                <c:pt idx="2">
                  <c:v>Antenne Nkongsamba</c:v>
                </c:pt>
                <c:pt idx="3">
                  <c:v>Antenne Garoua</c:v>
                </c:pt>
                <c:pt idx="4">
                  <c:v>Antenne Maroua</c:v>
                </c:pt>
                <c:pt idx="5">
                  <c:v>Antenne Ngaoundéré</c:v>
                </c:pt>
                <c:pt idx="6">
                  <c:v>Siège Yaoundé</c:v>
                </c:pt>
                <c:pt idx="7">
                  <c:v>Antenne Bertoua</c:v>
                </c:pt>
                <c:pt idx="8">
                  <c:v>Antenne Ebolowa</c:v>
                </c:pt>
              </c:strCache>
            </c:strRef>
          </c:cat>
          <c:val>
            <c:numRef>
              <c:f>'Antennes — Détail solaire'!$E$5:$E$13</c:f>
              <c:numCache>
                <c:formatCode>General</c:formatCode>
                <c:ptCount val="9"/>
                <c:pt idx="0">
                  <c:v>79</c:v>
                </c:pt>
                <c:pt idx="1">
                  <c:v>50</c:v>
                </c:pt>
                <c:pt idx="2">
                  <c:v>29</c:v>
                </c:pt>
                <c:pt idx="3">
                  <c:v>46</c:v>
                </c:pt>
                <c:pt idx="4">
                  <c:v>34</c:v>
                </c:pt>
                <c:pt idx="5">
                  <c:v>55</c:v>
                </c:pt>
                <c:pt idx="6">
                  <c:v>71</c:v>
                </c:pt>
                <c:pt idx="7">
                  <c:v>68</c:v>
                </c:pt>
                <c:pt idx="8">
                  <c:v>67</c:v>
                </c:pt>
              </c:numCache>
            </c:numRef>
          </c:val>
        </c:ser>
        <c:gapWidth val="150"/>
        <c:overlap val="0"/>
        <c:axId val="2353836"/>
        <c:axId val="55300832"/>
      </c:barChart>
      <c:catAx>
        <c:axId val="235383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5300832"/>
        <c:crosses val="autoZero"/>
        <c:auto val="1"/>
        <c:lblAlgn val="ctr"/>
        <c:lblOffset val="100"/>
        <c:noMultiLvlLbl val="0"/>
      </c:catAx>
      <c:valAx>
        <c:axId val="55300832"/>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Sites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35383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Proportion de sites par antenne / annexe</a:t>
            </a:r>
          </a:p>
        </c:rich>
      </c:tx>
      <c:overlay val="0"/>
      <c:spPr>
        <a:noFill/>
        <a:ln w="0">
          <a:noFill/>
        </a:ln>
      </c:spPr>
    </c:title>
    <c:autoTitleDeleted val="0"/>
    <c:plotArea>
      <c:pieChart>
        <c:varyColors val="1"/>
        <c:ser>
          <c:idx val="0"/>
          <c:order val="0"/>
          <c:tx>
            <c:strRef>
              <c:f>'Antennes — Détail solaire'!E4</c:f>
              <c:strCache>
                <c:ptCount val="1"/>
                <c:pt idx="0">
                  <c:v>Nb sites</c:v>
                </c:pt>
              </c:strCache>
            </c:strRef>
          </c:tx>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Pt>
            <c:idx val="8"/>
            <c:spPr>
              <a:solidFill>
                <a:srgbClr val="b8cd97"/>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6"/>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7"/>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8"/>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showLeaderLines val="1"/>
          </c:dLbls>
          <c:cat>
            <c:strRef>
              <c:f>'Antennes — Détail solaire'!$A$5:$A$13</c:f>
              <c:strCache>
                <c:ptCount val="9"/>
                <c:pt idx="0">
                  <c:v>Antenne Bamenda</c:v>
                </c:pt>
                <c:pt idx="1">
                  <c:v>Antenne Limbé</c:v>
                </c:pt>
                <c:pt idx="2">
                  <c:v>Antenne Nkongsamba</c:v>
                </c:pt>
                <c:pt idx="3">
                  <c:v>Antenne Garoua</c:v>
                </c:pt>
                <c:pt idx="4">
                  <c:v>Antenne Maroua</c:v>
                </c:pt>
                <c:pt idx="5">
                  <c:v>Antenne Ngaoundéré</c:v>
                </c:pt>
                <c:pt idx="6">
                  <c:v>Siège Yaoundé</c:v>
                </c:pt>
                <c:pt idx="7">
                  <c:v>Antenne Bertoua</c:v>
                </c:pt>
                <c:pt idx="8">
                  <c:v>Antenne Ebolowa</c:v>
                </c:pt>
              </c:strCache>
            </c:strRef>
          </c:cat>
          <c:val>
            <c:numRef>
              <c:f>'Antennes — Détail solaire'!$E$5:$E$13</c:f>
              <c:numCache>
                <c:formatCode>General</c:formatCode>
                <c:ptCount val="9"/>
                <c:pt idx="0">
                  <c:v>79</c:v>
                </c:pt>
                <c:pt idx="1">
                  <c:v>50</c:v>
                </c:pt>
                <c:pt idx="2">
                  <c:v>29</c:v>
                </c:pt>
                <c:pt idx="3">
                  <c:v>46</c:v>
                </c:pt>
                <c:pt idx="4">
                  <c:v>34</c:v>
                </c:pt>
                <c:pt idx="5">
                  <c:v>55</c:v>
                </c:pt>
                <c:pt idx="6">
                  <c:v>71</c:v>
                </c:pt>
                <c:pt idx="7">
                  <c:v>68</c:v>
                </c:pt>
                <c:pt idx="8">
                  <c:v>67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Répartition de la puissance installée (kWc) par antenne / annexe</a:t>
            </a:r>
          </a:p>
        </c:rich>
      </c:tx>
      <c:overlay val="0"/>
      <c:spPr>
        <a:noFill/>
        <a:ln w="0">
          <a:noFill/>
        </a:ln>
      </c:spPr>
    </c:title>
    <c:autoTitleDeleted val="0"/>
    <c:plotArea>
      <c:pieChart>
        <c:varyColors val="1"/>
        <c:ser>
          <c:idx val="0"/>
          <c:order val="0"/>
          <c:tx>
            <c:strRef>
              <c:f>'Antennes — Détail solaire'!F4</c:f>
              <c:strCache>
                <c:ptCount val="1"/>
                <c:pt idx="0">
                  <c:v>Puissance totale (kWc)</c:v>
                </c:pt>
              </c:strCache>
            </c:strRef>
          </c:tx>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Pt>
            <c:idx val="8"/>
            <c:spPr>
              <a:solidFill>
                <a:srgbClr val="b8cd97"/>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6"/>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7"/>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8"/>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showLeaderLines val="1"/>
          </c:dLbls>
          <c:cat>
            <c:strRef>
              <c:f>'Antennes — Détail solaire'!$A$5:$A$13</c:f>
              <c:strCache>
                <c:ptCount val="9"/>
                <c:pt idx="0">
                  <c:v>Antenne Bamenda</c:v>
                </c:pt>
                <c:pt idx="1">
                  <c:v>Antenne Limbé</c:v>
                </c:pt>
                <c:pt idx="2">
                  <c:v>Antenne Nkongsamba</c:v>
                </c:pt>
                <c:pt idx="3">
                  <c:v>Antenne Garoua</c:v>
                </c:pt>
                <c:pt idx="4">
                  <c:v>Antenne Maroua</c:v>
                </c:pt>
                <c:pt idx="5">
                  <c:v>Antenne Ngaoundéré</c:v>
                </c:pt>
                <c:pt idx="6">
                  <c:v>Siège Yaoundé</c:v>
                </c:pt>
                <c:pt idx="7">
                  <c:v>Antenne Bertoua</c:v>
                </c:pt>
                <c:pt idx="8">
                  <c:v>Antenne Ebolowa</c:v>
                </c:pt>
              </c:strCache>
            </c:strRef>
          </c:cat>
          <c:val>
            <c:numRef>
              <c:f>'Antennes — Détail solaire'!$F$5:$F$13</c:f>
              <c:numCache>
                <c:formatCode>#,##0.0</c:formatCode>
                <c:ptCount val="9"/>
                <c:pt idx="0">
                  <c:v>5234.6</c:v>
                </c:pt>
                <c:pt idx="1">
                  <c:v>2677.6</c:v>
                </c:pt>
                <c:pt idx="2">
                  <c:v>1433.6</c:v>
                </c:pt>
                <c:pt idx="3">
                  <c:v>4341</c:v>
                </c:pt>
                <c:pt idx="4">
                  <c:v>3110.4</c:v>
                </c:pt>
                <c:pt idx="5">
                  <c:v>4312.8</c:v>
                </c:pt>
                <c:pt idx="6">
                  <c:v>4015.2</c:v>
                </c:pt>
                <c:pt idx="7">
                  <c:v>4498.2</c:v>
                </c:pt>
                <c:pt idx="8">
                  <c:v>3198.2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Proportion de sites par groupe (antenne principale + annexes)</a:t>
            </a:r>
          </a:p>
        </c:rich>
      </c:tx>
      <c:overlay val="0"/>
      <c:spPr>
        <a:noFill/>
        <a:ln w="0">
          <a:noFill/>
        </a:ln>
      </c:spPr>
    </c:title>
    <c:autoTitleDeleted val="0"/>
    <c:plotArea>
      <c:pieChart>
        <c:varyColors val="1"/>
        <c:ser>
          <c:idx val="0"/>
          <c:order val="0"/>
          <c:tx>
            <c:strRef>
              <c:f>'Antennes — Détail solaire'!B17</c:f>
              <c:strCache>
                <c:ptCount val="1"/>
                <c:pt idx="0">
                  <c:v>Nb sites (groupe)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showLeaderLines val="1"/>
          </c:dLbls>
          <c:cat>
            <c:strRef>
              <c:f>'Antennes — Détail solaire'!$A$18:$A$21</c:f>
              <c:strCache>
                <c:ptCount val="4"/>
                <c:pt idx="0">
                  <c:v>Antenne Bamenda</c:v>
                </c:pt>
                <c:pt idx="1">
                  <c:v>Antenne Limbé</c:v>
                </c:pt>
                <c:pt idx="2">
                  <c:v>Antenne Garoua</c:v>
                </c:pt>
                <c:pt idx="3">
                  <c:v>Siège Yaoundé</c:v>
                </c:pt>
              </c:strCache>
            </c:strRef>
          </c:cat>
          <c:val>
            <c:numRef>
              <c:f>'Antennes — Détail solaire'!$B$18:$B$21</c:f>
              <c:numCache>
                <c:formatCode>General</c:formatCode>
                <c:ptCount val="4"/>
                <c:pt idx="0">
                  <c:v>79</c:v>
                </c:pt>
                <c:pt idx="1">
                  <c:v>79</c:v>
                </c:pt>
                <c:pt idx="2">
                  <c:v>135</c:v>
                </c:pt>
                <c:pt idx="3">
                  <c:v>206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Effectif proposé par antenne / annexe (détail par fonction)</a:t>
            </a:r>
          </a:p>
        </c:rich>
      </c:tx>
      <c:overlay val="0"/>
      <c:spPr>
        <a:noFill/>
        <a:ln w="0">
          <a:noFill/>
        </a:ln>
      </c:spPr>
    </c:title>
    <c:autoTitleDeleted val="0"/>
    <c:plotArea>
      <c:barChart>
        <c:barDir val="col"/>
        <c:grouping val="stacked"/>
        <c:varyColors val="0"/>
        <c:ser>
          <c:idx val="0"/>
          <c:order val="0"/>
          <c:tx>
            <c:strRef>
              <c:f>'Antennes — Détail solaire'!G4</c:f>
              <c:strCache>
                <c:ptCount val="1"/>
                <c:pt idx="0">
                  <c:v>Chef + admin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'Antennes — Détail solaire'!$A$5:$A$13</c:f>
              <c:strCache>
                <c:ptCount val="9"/>
                <c:pt idx="0">
                  <c:v>Antenne Bamenda</c:v>
                </c:pt>
                <c:pt idx="1">
                  <c:v>Antenne Limbé</c:v>
                </c:pt>
                <c:pt idx="2">
                  <c:v>Antenne Nkongsamba</c:v>
                </c:pt>
                <c:pt idx="3">
                  <c:v>Antenne Garoua</c:v>
                </c:pt>
                <c:pt idx="4">
                  <c:v>Antenne Maroua</c:v>
                </c:pt>
                <c:pt idx="5">
                  <c:v>Antenne Ngaoundéré</c:v>
                </c:pt>
                <c:pt idx="6">
                  <c:v>Siège Yaoundé</c:v>
                </c:pt>
                <c:pt idx="7">
                  <c:v>Antenne Bertoua</c:v>
                </c:pt>
                <c:pt idx="8">
                  <c:v>Antenne Ebolowa</c:v>
                </c:pt>
              </c:strCache>
            </c:strRef>
          </c:cat>
          <c:val>
            <c:numRef>
              <c:f>'Antennes — Détail solaire'!$G$5:$G$13</c:f>
              <c:numCache>
                <c:formatCode>General</c:formatCode>
                <c:ptCount val="9"/>
                <c:pt idx="0">
                  <c:v>2</c:v>
                </c:pt>
                <c:pt idx="1">
                  <c:v>2</c:v>
                </c:pt>
                <c:pt idx="2">
                  <c:v>2</c:v>
                </c:pt>
                <c:pt idx="3">
                  <c:v>2</c:v>
                </c:pt>
                <c:pt idx="4">
                  <c:v>2</c:v>
                </c:pt>
                <c:pt idx="5">
                  <c:v>2</c:v>
                </c:pt>
                <c:pt idx="6">
                  <c:v>2</c:v>
                </c:pt>
                <c:pt idx="7">
                  <c:v>2</c:v>
                </c:pt>
                <c:pt idx="8">
                  <c:v>2</c:v>
                </c:pt>
              </c:numCache>
            </c:numRef>
          </c:val>
        </c:ser>
        <c:ser>
          <c:idx val="1"/>
          <c:order val="1"/>
          <c:tx>
            <c:strRef>
              <c:f>'Antennes — Détail solaire'!H4</c:f>
              <c:strCache>
                <c:ptCount val="1"/>
                <c:pt idx="0">
                  <c:v>Ingénieurs techniques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'Antennes — Détail solaire'!$A$5:$A$13</c:f>
              <c:strCache>
                <c:ptCount val="9"/>
                <c:pt idx="0">
                  <c:v>Antenne Bamenda</c:v>
                </c:pt>
                <c:pt idx="1">
                  <c:v>Antenne Limbé</c:v>
                </c:pt>
                <c:pt idx="2">
                  <c:v>Antenne Nkongsamba</c:v>
                </c:pt>
                <c:pt idx="3">
                  <c:v>Antenne Garoua</c:v>
                </c:pt>
                <c:pt idx="4">
                  <c:v>Antenne Maroua</c:v>
                </c:pt>
                <c:pt idx="5">
                  <c:v>Antenne Ngaoundéré</c:v>
                </c:pt>
                <c:pt idx="6">
                  <c:v>Siège Yaoundé</c:v>
                </c:pt>
                <c:pt idx="7">
                  <c:v>Antenne Bertoua</c:v>
                </c:pt>
                <c:pt idx="8">
                  <c:v>Antenne Ebolowa</c:v>
                </c:pt>
              </c:strCache>
            </c:strRef>
          </c:cat>
          <c:val>
            <c:numRef>
              <c:f>'Antennes — Détail solaire'!$H$5:$H$13</c:f>
              <c:numCache>
                <c:formatCode>General</c:formatCode>
                <c:ptCount val="9"/>
                <c:pt idx="0">
                  <c:v>4</c:v>
                </c:pt>
                <c:pt idx="1">
                  <c:v>2</c:v>
                </c:pt>
                <c:pt idx="2">
                  <c:v>2</c:v>
                </c:pt>
                <c:pt idx="3">
                  <c:v>2</c:v>
                </c:pt>
                <c:pt idx="4">
                  <c:v>2</c:v>
                </c:pt>
                <c:pt idx="5">
                  <c:v>3</c:v>
                </c:pt>
                <c:pt idx="6">
                  <c:v>3</c:v>
                </c:pt>
                <c:pt idx="7">
                  <c:v>3</c:v>
                </c:pt>
                <c:pt idx="8">
                  <c:v>3</c:v>
                </c:pt>
              </c:numCache>
            </c:numRef>
          </c:val>
        </c:ser>
        <c:ser>
          <c:idx val="2"/>
          <c:order val="2"/>
          <c:tx>
            <c:strRef>
              <c:f>'Antennes — Détail solaire'!I4</c:f>
              <c:strCache>
                <c:ptCount val="1"/>
                <c:pt idx="0">
                  <c:v>Agents communautaires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'Antennes — Détail solaire'!$A$5:$A$13</c:f>
              <c:strCache>
                <c:ptCount val="9"/>
                <c:pt idx="0">
                  <c:v>Antenne Bamenda</c:v>
                </c:pt>
                <c:pt idx="1">
                  <c:v>Antenne Limbé</c:v>
                </c:pt>
                <c:pt idx="2">
                  <c:v>Antenne Nkongsamba</c:v>
                </c:pt>
                <c:pt idx="3">
                  <c:v>Antenne Garoua</c:v>
                </c:pt>
                <c:pt idx="4">
                  <c:v>Antenne Maroua</c:v>
                </c:pt>
                <c:pt idx="5">
                  <c:v>Antenne Ngaoundéré</c:v>
                </c:pt>
                <c:pt idx="6">
                  <c:v>Siège Yaoundé</c:v>
                </c:pt>
                <c:pt idx="7">
                  <c:v>Antenne Bertoua</c:v>
                </c:pt>
                <c:pt idx="8">
                  <c:v>Antenne Ebolowa</c:v>
                </c:pt>
              </c:strCache>
            </c:strRef>
          </c:cat>
          <c:val>
            <c:numRef>
              <c:f>'Antennes — Détail solaire'!$I$5:$I$13</c:f>
              <c:numCache>
                <c:formatCode>General</c:formatCode>
                <c:ptCount val="9"/>
                <c:pt idx="0">
                  <c:v>3</c:v>
                </c:pt>
                <c:pt idx="1">
                  <c:v>2</c:v>
                </c:pt>
                <c:pt idx="2">
                  <c:v>1</c:v>
                </c:pt>
                <c:pt idx="3">
                  <c:v>2</c:v>
                </c:pt>
                <c:pt idx="4">
                  <c:v>2</c:v>
                </c:pt>
                <c:pt idx="5">
                  <c:v>2</c:v>
                </c:pt>
                <c:pt idx="6">
                  <c:v>3</c:v>
                </c:pt>
                <c:pt idx="7">
                  <c:v>3</c:v>
                </c:pt>
                <c:pt idx="8">
                  <c:v>3</c:v>
                </c:pt>
              </c:numCache>
            </c:numRef>
          </c:val>
        </c:ser>
        <c:gapWidth val="150"/>
        <c:overlap val="100"/>
        <c:axId val="43335667"/>
        <c:axId val="16369634"/>
      </c:barChart>
      <c:catAx>
        <c:axId val="43335667"/>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6369634"/>
        <c:crosses val="autoZero"/>
        <c:auto val="1"/>
        <c:lblAlgn val="ctr"/>
        <c:lblOffset val="100"/>
        <c:noMultiLvlLbl val="0"/>
      </c:catAx>
      <c:valAx>
        <c:axId val="16369634"/>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Agents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333566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Sites par agent (charge relative)</a:t>
            </a:r>
          </a:p>
        </c:rich>
      </c:tx>
      <c:overlay val="0"/>
      <c:spPr>
        <a:noFill/>
        <a:ln w="0">
          <a:noFill/>
        </a:ln>
      </c:spPr>
    </c:title>
    <c:autoTitleDeleted val="0"/>
    <c:plotArea>
      <c:barChart>
        <c:barDir val="col"/>
        <c:grouping val="clustered"/>
        <c:varyColors val="0"/>
        <c:ser>
          <c:idx val="0"/>
          <c:order val="0"/>
          <c:tx>
            <c:strRef>
              <c:f>'Antennes — Détail solaire'!K4</c:f>
              <c:strCache>
                <c:ptCount val="1"/>
                <c:pt idx="0">
                  <c:v>Sites par agent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'Antennes — Détail solaire'!$A$5:$A$13</c:f>
              <c:strCache>
                <c:ptCount val="9"/>
                <c:pt idx="0">
                  <c:v>Antenne Bamenda</c:v>
                </c:pt>
                <c:pt idx="1">
                  <c:v>Antenne Limbé</c:v>
                </c:pt>
                <c:pt idx="2">
                  <c:v>Antenne Nkongsamba</c:v>
                </c:pt>
                <c:pt idx="3">
                  <c:v>Antenne Garoua</c:v>
                </c:pt>
                <c:pt idx="4">
                  <c:v>Antenne Maroua</c:v>
                </c:pt>
                <c:pt idx="5">
                  <c:v>Antenne Ngaoundéré</c:v>
                </c:pt>
                <c:pt idx="6">
                  <c:v>Siège Yaoundé</c:v>
                </c:pt>
                <c:pt idx="7">
                  <c:v>Antenne Bertoua</c:v>
                </c:pt>
                <c:pt idx="8">
                  <c:v>Antenne Ebolowa</c:v>
                </c:pt>
              </c:strCache>
            </c:strRef>
          </c:cat>
          <c:val>
            <c:numRef>
              <c:f>'Antennes — Détail solaire'!$K$5:$K$13</c:f>
              <c:numCache>
                <c:formatCode>#,##0.0</c:formatCode>
                <c:ptCount val="9"/>
                <c:pt idx="0">
                  <c:v>8.77777777777778</c:v>
                </c:pt>
                <c:pt idx="1">
                  <c:v>8.33333333333333</c:v>
                </c:pt>
                <c:pt idx="2">
                  <c:v>5.8</c:v>
                </c:pt>
                <c:pt idx="3">
                  <c:v>7.66666666666667</c:v>
                </c:pt>
                <c:pt idx="4">
                  <c:v>5.66666666666667</c:v>
                </c:pt>
                <c:pt idx="5">
                  <c:v>7.85714285714286</c:v>
                </c:pt>
                <c:pt idx="6">
                  <c:v>8.875</c:v>
                </c:pt>
                <c:pt idx="7">
                  <c:v>8.5</c:v>
                </c:pt>
                <c:pt idx="8">
                  <c:v>8.375</c:v>
                </c:pt>
              </c:numCache>
            </c:numRef>
          </c:val>
        </c:ser>
        <c:gapWidth val="150"/>
        <c:overlap val="0"/>
        <c:axId val="10398181"/>
        <c:axId val="45651764"/>
      </c:barChart>
      <c:catAx>
        <c:axId val="10398181"/>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5651764"/>
        <c:crosses val="autoZero"/>
        <c:auto val="1"/>
        <c:lblAlgn val="ctr"/>
        <c:lblOffset val="100"/>
        <c:noMultiLvlLbl val="0"/>
      </c:catAx>
      <c:valAx>
        <c:axId val="45651764"/>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Sites / agent</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039818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_rels/drawing2.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83</xdr:row>
      <xdr:rowOff>0</xdr:rowOff>
    </xdr:from>
    <xdr:to>
      <xdr:col>4</xdr:col>
      <xdr:colOff>825840</xdr:colOff>
      <xdr:row>99</xdr:row>
      <xdr:rowOff>11520</xdr:rowOff>
    </xdr:to>
    <xdr:graphicFrame>
      <xdr:nvGraphicFramePr>
        <xdr:cNvPr id="0" name="Chart 1"/>
        <xdr:cNvGraphicFramePr/>
      </xdr:nvGraphicFramePr>
      <xdr:xfrm>
        <a:off x="0" y="21574080"/>
        <a:ext cx="57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83</xdr:row>
      <xdr:rowOff>0</xdr:rowOff>
    </xdr:from>
    <xdr:to>
      <xdr:col>10</xdr:col>
      <xdr:colOff>755280</xdr:colOff>
      <xdr:row>99</xdr:row>
      <xdr:rowOff>11520</xdr:rowOff>
    </xdr:to>
    <xdr:graphicFrame>
      <xdr:nvGraphicFramePr>
        <xdr:cNvPr id="1" name="Chart 2"/>
        <xdr:cNvGraphicFramePr/>
      </xdr:nvGraphicFramePr>
      <xdr:xfrm>
        <a:off x="5850360" y="21574080"/>
        <a:ext cx="575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101</xdr:row>
      <xdr:rowOff>0</xdr:rowOff>
    </xdr:from>
    <xdr:to>
      <xdr:col>4</xdr:col>
      <xdr:colOff>825840</xdr:colOff>
      <xdr:row>117</xdr:row>
      <xdr:rowOff>11520</xdr:rowOff>
    </xdr:to>
    <xdr:graphicFrame>
      <xdr:nvGraphicFramePr>
        <xdr:cNvPr id="2" name="Chart 3"/>
        <xdr:cNvGraphicFramePr/>
      </xdr:nvGraphicFramePr>
      <xdr:xfrm>
        <a:off x="0" y="25003080"/>
        <a:ext cx="575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101</xdr:row>
      <xdr:rowOff>0</xdr:rowOff>
    </xdr:from>
    <xdr:to>
      <xdr:col>10</xdr:col>
      <xdr:colOff>755280</xdr:colOff>
      <xdr:row>117</xdr:row>
      <xdr:rowOff>11520</xdr:rowOff>
    </xdr:to>
    <xdr:graphicFrame>
      <xdr:nvGraphicFramePr>
        <xdr:cNvPr id="3" name="Chart 4"/>
        <xdr:cNvGraphicFramePr/>
      </xdr:nvGraphicFramePr>
      <xdr:xfrm>
        <a:off x="5850360" y="25003080"/>
        <a:ext cx="575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119</xdr:row>
      <xdr:rowOff>0</xdr:rowOff>
    </xdr:from>
    <xdr:to>
      <xdr:col>4</xdr:col>
      <xdr:colOff>825840</xdr:colOff>
      <xdr:row>135</xdr:row>
      <xdr:rowOff>11520</xdr:rowOff>
    </xdr:to>
    <xdr:graphicFrame>
      <xdr:nvGraphicFramePr>
        <xdr:cNvPr id="4" name="Chart 5"/>
        <xdr:cNvGraphicFramePr/>
      </xdr:nvGraphicFramePr>
      <xdr:xfrm>
        <a:off x="0" y="28432080"/>
        <a:ext cx="5759640" cy="305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0</xdr:rowOff>
    </xdr:from>
    <xdr:to>
      <xdr:col>3</xdr:col>
      <xdr:colOff>2376360</xdr:colOff>
      <xdr:row>44</xdr:row>
      <xdr:rowOff>164160</xdr:rowOff>
    </xdr:to>
    <xdr:graphicFrame>
      <xdr:nvGraphicFramePr>
        <xdr:cNvPr id="5" name="Chart 1"/>
        <xdr:cNvGraphicFramePr/>
      </xdr:nvGraphicFramePr>
      <xdr:xfrm>
        <a:off x="0" y="6381720"/>
        <a:ext cx="57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28</xdr:row>
      <xdr:rowOff>0</xdr:rowOff>
    </xdr:from>
    <xdr:to>
      <xdr:col>13</xdr:col>
      <xdr:colOff>50400</xdr:colOff>
      <xdr:row>44</xdr:row>
      <xdr:rowOff>164160</xdr:rowOff>
    </xdr:to>
    <xdr:graphicFrame>
      <xdr:nvGraphicFramePr>
        <xdr:cNvPr id="6" name="Chart 2"/>
        <xdr:cNvGraphicFramePr/>
      </xdr:nvGraphicFramePr>
      <xdr:xfrm>
        <a:off x="8740080" y="6381720"/>
        <a:ext cx="575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48</xdr:row>
      <xdr:rowOff>0</xdr:rowOff>
    </xdr:from>
    <xdr:to>
      <xdr:col>3</xdr:col>
      <xdr:colOff>2376360</xdr:colOff>
      <xdr:row>64</xdr:row>
      <xdr:rowOff>163800</xdr:rowOff>
    </xdr:to>
    <xdr:graphicFrame>
      <xdr:nvGraphicFramePr>
        <xdr:cNvPr id="7" name="Chart 3"/>
        <xdr:cNvGraphicFramePr/>
      </xdr:nvGraphicFramePr>
      <xdr:xfrm>
        <a:off x="0" y="10001160"/>
        <a:ext cx="575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48</xdr:row>
      <xdr:rowOff>0</xdr:rowOff>
    </xdr:from>
    <xdr:to>
      <xdr:col>13</xdr:col>
      <xdr:colOff>50400</xdr:colOff>
      <xdr:row>64</xdr:row>
      <xdr:rowOff>163800</xdr:rowOff>
    </xdr:to>
    <xdr:graphicFrame>
      <xdr:nvGraphicFramePr>
        <xdr:cNvPr id="8" name="Chart 4"/>
        <xdr:cNvGraphicFramePr/>
      </xdr:nvGraphicFramePr>
      <xdr:xfrm>
        <a:off x="8740080" y="10001160"/>
        <a:ext cx="575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68</xdr:row>
      <xdr:rowOff>0</xdr:rowOff>
    </xdr:from>
    <xdr:to>
      <xdr:col>3</xdr:col>
      <xdr:colOff>2376360</xdr:colOff>
      <xdr:row>84</xdr:row>
      <xdr:rowOff>163800</xdr:rowOff>
    </xdr:to>
    <xdr:graphicFrame>
      <xdr:nvGraphicFramePr>
        <xdr:cNvPr id="9" name="Chart 5"/>
        <xdr:cNvGraphicFramePr/>
      </xdr:nvGraphicFramePr>
      <xdr:xfrm>
        <a:off x="0" y="13620600"/>
        <a:ext cx="5759640" cy="305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68</xdr:row>
      <xdr:rowOff>0</xdr:rowOff>
    </xdr:from>
    <xdr:to>
      <xdr:col>13</xdr:col>
      <xdr:colOff>50400</xdr:colOff>
      <xdr:row>84</xdr:row>
      <xdr:rowOff>163800</xdr:rowOff>
    </xdr:to>
    <xdr:graphicFrame>
      <xdr:nvGraphicFramePr>
        <xdr:cNvPr id="10" name="Chart 6"/>
        <xdr:cNvGraphicFramePr/>
      </xdr:nvGraphicFramePr>
      <xdr:xfrm>
        <a:off x="8740080" y="13620600"/>
        <a:ext cx="5759640" cy="305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id="1" name="RepartitionAntenne" displayName="RepartitionAntenne" ref="A4:F503" headerRowCount="1" totalsRowCount="0" totalsRowShown="0">
  <autoFilter ref="A4:F503">
    <filterColumn colId="0">
      <filters>
        <filter val="Antenne Garoua"/>
      </filters>
    </filterColumn>
  </autoFilter>
  <tableColumns count="6">
    <tableColumn id="1" name="Antenne proposée"/>
    <tableColumn id="2" name="Région"/>
    <tableColumn id="3" name="Département"/>
    <tableColumn id="4" name="Nom du site"/>
    <tableColumn id="5" name="Puissance (kWc)"/>
    <tableColumn id="6" name="Phase"/>
  </tableColumns>
</table>
</file>

<file path=xl/tables/table2.xml><?xml version="1.0" encoding="utf-8"?>
<table xmlns="http://schemas.openxmlformats.org/spreadsheetml/2006/main" id="2" name="SitesData" displayName="SitesData" ref="A1:J500" headerRowCount="1" totalsRowCount="0" totalsRowShown="0">
  <autoFilter ref="A1:J500">
    <filterColumn colId="3">
      <filters>
        <filter val="Extrême-Nord"/>
      </filters>
    </filterColumn>
  </autoFilter>
  <tableColumns count="10">
    <tableColumn id="1" name="Phase"/>
    <tableColumn id="2" name="N°"/>
    <tableColumn id="3" name="Nom du site"/>
    <tableColumn id="4" name="Région"/>
    <tableColumn id="5" name="Département"/>
    <tableColumn id="6" name="Arrondissement"/>
    <tableColumn id="7" name="Puissance (kWc)"/>
    <tableColumn id="8" name="Latitude (N)"/>
    <tableColumn id="9" name="Longitude (E)"/>
    <tableColumn id="10" name="Antenne proposé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R1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24"/>
    <col collapsed="false" customWidth="true" hidden="false" outlineLevel="0" max="7" min="4" style="0" width="13"/>
    <col collapsed="false" customWidth="true" hidden="false" outlineLevel="0" max="8" min="8" style="0" width="19"/>
    <col collapsed="false" customWidth="true" hidden="false" outlineLevel="0" max="14" min="9" style="0" width="13"/>
    <col collapsed="false" customWidth="true" hidden="true" outlineLevel="0" max="18" min="17" style="0" width="13"/>
  </cols>
  <sheetData>
    <row r="1" customFormat="false" ht="24" hidden="false" customHeight="true" outlineLevel="0" collapsed="false">
      <c r="A1" s="1" t="s">
        <v>0</v>
      </c>
      <c r="B1" s="1"/>
      <c r="C1" s="1"/>
      <c r="D1" s="1"/>
      <c r="E1" s="1"/>
      <c r="F1" s="1"/>
      <c r="G1" s="1"/>
      <c r="H1" s="1"/>
      <c r="I1" s="1"/>
      <c r="J1" s="1"/>
      <c r="K1" s="1"/>
      <c r="L1" s="1"/>
      <c r="M1" s="1"/>
      <c r="N1" s="1"/>
    </row>
    <row r="2" customFormat="false" ht="24" hidden="false" customHeight="true" outlineLevel="0" collapsed="false">
      <c r="A2" s="1"/>
      <c r="B2" s="1"/>
      <c r="C2" s="1"/>
      <c r="D2" s="1"/>
      <c r="E2" s="1"/>
      <c r="F2" s="1"/>
      <c r="G2" s="1"/>
      <c r="H2" s="1"/>
      <c r="I2" s="1"/>
      <c r="J2" s="1"/>
      <c r="K2" s="1"/>
      <c r="L2" s="1"/>
      <c r="M2" s="1"/>
      <c r="N2" s="1"/>
    </row>
    <row r="3" customFormat="false" ht="15" hidden="false" customHeight="true" outlineLevel="0" collapsed="false">
      <c r="A3" s="2" t="s">
        <v>1</v>
      </c>
      <c r="B3" s="2"/>
      <c r="C3" s="2"/>
      <c r="D3" s="2"/>
      <c r="E3" s="2"/>
      <c r="F3" s="2"/>
      <c r="G3" s="2"/>
      <c r="H3" s="2"/>
      <c r="I3" s="2"/>
      <c r="J3" s="2"/>
      <c r="K3" s="2"/>
      <c r="L3" s="2"/>
      <c r="M3" s="2"/>
      <c r="N3" s="2"/>
    </row>
    <row r="5" customFormat="false" ht="21.75" hidden="false" customHeight="true" outlineLevel="0" collapsed="false">
      <c r="A5" s="3"/>
      <c r="B5" s="3"/>
      <c r="C5" s="3"/>
      <c r="D5" s="3"/>
      <c r="E5" s="3"/>
      <c r="F5" s="3"/>
      <c r="G5" s="3"/>
      <c r="H5" s="3"/>
      <c r="I5" s="3"/>
      <c r="J5" s="3"/>
      <c r="K5" s="3"/>
      <c r="L5" s="3"/>
      <c r="M5" s="3"/>
      <c r="N5" s="3"/>
    </row>
    <row r="6" customFormat="false" ht="25.5" hidden="false" customHeight="true" outlineLevel="0" collapsed="false">
      <c r="A6" s="4" t="s">
        <v>2</v>
      </c>
      <c r="B6" s="4"/>
      <c r="C6" s="4"/>
      <c r="D6" s="4" t="s">
        <v>3</v>
      </c>
      <c r="E6" s="4"/>
      <c r="F6" s="4"/>
      <c r="G6" s="4" t="s">
        <v>4</v>
      </c>
      <c r="H6" s="4"/>
      <c r="I6" s="4"/>
      <c r="J6" s="4" t="s">
        <v>5</v>
      </c>
      <c r="K6" s="4"/>
      <c r="L6" s="4"/>
      <c r="M6" s="4" t="s">
        <v>6</v>
      </c>
      <c r="N6" s="4"/>
    </row>
    <row r="7" customFormat="false" ht="30" hidden="false" customHeight="true" outlineLevel="0" collapsed="false">
      <c r="A7" s="5" t="n">
        <f aca="false">SUM('Antennes — Détail solaire'!E5:E13)</f>
        <v>499</v>
      </c>
      <c r="B7" s="5"/>
      <c r="C7" s="5"/>
      <c r="D7" s="6" t="n">
        <f aca="false">SUM('Antennes — Détail solaire'!F5:F13)</f>
        <v>32821.6</v>
      </c>
      <c r="E7" s="6"/>
      <c r="F7" s="6"/>
      <c r="G7" s="5" t="n">
        <v>9</v>
      </c>
      <c r="H7" s="5"/>
      <c r="I7" s="5"/>
      <c r="J7" s="7" t="n">
        <f aca="false">SUM('Antennes — Détail solaire'!J5:J13)</f>
        <v>63</v>
      </c>
      <c r="K7" s="7"/>
      <c r="L7" s="7"/>
      <c r="M7" s="8" t="n">
        <f aca="false">SUM('Antennes — Détail solaire'!E5:E13)/SUM('Antennes — Détail solaire'!J5:J13)</f>
        <v>7.92063492063492</v>
      </c>
      <c r="N7" s="8"/>
    </row>
    <row r="9" customFormat="false" ht="21.75" hidden="false" customHeight="true" outlineLevel="0" collapsed="false">
      <c r="A9" s="3"/>
      <c r="B9" s="3"/>
      <c r="C9" s="3"/>
      <c r="D9" s="3"/>
      <c r="E9" s="3"/>
      <c r="F9" s="3"/>
      <c r="G9" s="3"/>
      <c r="H9" s="3"/>
      <c r="I9" s="3"/>
      <c r="J9" s="3"/>
      <c r="K9" s="3"/>
      <c r="L9" s="3"/>
      <c r="M9" s="3"/>
      <c r="N9" s="3"/>
    </row>
    <row r="10" customFormat="false" ht="25.5" hidden="false" customHeight="true" outlineLevel="0" collapsed="false">
      <c r="A10" s="4" t="s">
        <v>7</v>
      </c>
      <c r="B10" s="4"/>
      <c r="C10" s="4" t="s">
        <v>8</v>
      </c>
      <c r="D10" s="4"/>
      <c r="E10" s="4"/>
      <c r="F10" s="4" t="s">
        <v>9</v>
      </c>
      <c r="G10" s="4"/>
      <c r="H10" s="4" t="s">
        <v>10</v>
      </c>
      <c r="I10" s="4"/>
      <c r="J10" s="4" t="s">
        <v>11</v>
      </c>
      <c r="K10" s="4"/>
      <c r="L10" s="4" t="s">
        <v>12</v>
      </c>
      <c r="M10" s="4"/>
      <c r="N10" s="4"/>
    </row>
    <row r="11" customFormat="false" ht="30" hidden="false" customHeight="true" outlineLevel="0" collapsed="false">
      <c r="A11" s="5" t="n">
        <f aca="false">COUNTIFS('Données - Équipes'!$C$5:$C$87,"Ingénieur")</f>
        <v>16</v>
      </c>
      <c r="B11" s="5"/>
      <c r="C11" s="9" t="str">
        <f aca="false">COUNTIF('Données - Équipes'!$F$5:$F$87,"OK")&amp;" / "&amp;(COUNTIF('Données - Équipes'!$F$5:$F$87,"OK")+COUNTIF('Données - Équipes'!$F$5:$F$87,"MANQUE"))</f>
        <v>47 / 64</v>
      </c>
      <c r="D11" s="9"/>
      <c r="E11" s="9"/>
      <c r="F11" s="10" t="n">
        <f aca="false">COUNTIF('Données - Équipes'!$F$5:$F$87,"MANQUE")</f>
        <v>17</v>
      </c>
      <c r="G11" s="10"/>
      <c r="H11" s="11" t="n">
        <f aca="false">COUNTA('Données - Équipes'!$A$91:$A$104)</f>
        <v>14</v>
      </c>
      <c r="I11" s="11"/>
      <c r="J11" s="12" t="str">
        <f aca="false">COUNTIFS('Données - Équipes'!$C$5:$C$87,"Ingénieur",'Données - Équipes'!$F$5:$F$87,"MANQUE")&amp;" / 16"</f>
        <v>10 / 16</v>
      </c>
      <c r="K11" s="12"/>
      <c r="L11" s="13" t="str">
        <f aca="false">COUNTIFS('Données - Équipes'!$C$5:$C$87,"Technicien 1",'Données - Équipes'!$F$5:$F$87,"MANQUE")+COUNTIFS('Données - Équipes'!$C$5:$C$87,"Technicien 2",'Données - Équipes'!$F$5:$F$87,"MANQUE")&amp;" / 32   —   "&amp;COUNTIFS('Données - Équipes'!$C$5:$C$87,"Chauffeur",'Données - Équipes'!$F$5:$F$87,"MANQUE")&amp;" / 16"</f>
        <v>3 / 32   —   4 / 16</v>
      </c>
      <c r="M11" s="13"/>
      <c r="N11" s="13"/>
    </row>
    <row r="12" customFormat="false" ht="21.75" hidden="false" customHeight="true" outlineLevel="0" collapsed="false">
      <c r="A12" s="3" t="s">
        <v>13</v>
      </c>
      <c r="B12" s="3"/>
      <c r="C12" s="3"/>
      <c r="D12" s="3"/>
      <c r="E12" s="3"/>
      <c r="F12" s="3"/>
      <c r="G12" s="3"/>
      <c r="H12" s="3"/>
      <c r="I12" s="3"/>
      <c r="J12" s="3"/>
      <c r="K12" s="3"/>
      <c r="L12" s="3"/>
      <c r="M12" s="3"/>
      <c r="N12" s="3"/>
    </row>
    <row r="14" customFormat="false" ht="25.5" hidden="false" customHeight="true" outlineLevel="0" collapsed="false">
      <c r="A14" s="14" t="s">
        <v>14</v>
      </c>
      <c r="B14" s="14" t="s">
        <v>15</v>
      </c>
      <c r="C14" s="14" t="s">
        <v>16</v>
      </c>
      <c r="D14" s="14" t="s">
        <v>17</v>
      </c>
      <c r="E14" s="14" t="s">
        <v>18</v>
      </c>
      <c r="F14" s="14" t="s">
        <v>19</v>
      </c>
      <c r="G14" s="14" t="s">
        <v>20</v>
      </c>
      <c r="H14" s="14" t="s">
        <v>21</v>
      </c>
    </row>
    <row r="15" customFormat="false" ht="25.5" hidden="false" customHeight="true" outlineLevel="0" collapsed="false">
      <c r="A15" s="15" t="s">
        <v>22</v>
      </c>
      <c r="B15" s="16" t="s">
        <v>23</v>
      </c>
      <c r="C15" s="17" t="s">
        <v>24</v>
      </c>
      <c r="D15" s="18" t="n">
        <f aca="false">'Antennes — Détail solaire'!E5</f>
        <v>79</v>
      </c>
      <c r="E15" s="19" t="n">
        <f aca="false">'Antennes — Détail solaire'!F5</f>
        <v>5234.6</v>
      </c>
      <c r="F15" s="18" t="n">
        <f aca="false">'Antennes — Détail solaire'!J5</f>
        <v>9</v>
      </c>
      <c r="G15" s="20" t="n">
        <f aca="false">D15/$D$24</f>
        <v>0.158316633266533</v>
      </c>
      <c r="H15" s="19" t="n">
        <f aca="false">IFERROR(D15/F15,0)</f>
        <v>8.77777777777778</v>
      </c>
    </row>
    <row r="16" customFormat="false" ht="25.5" hidden="false" customHeight="true" outlineLevel="0" collapsed="false">
      <c r="A16" s="15" t="s">
        <v>25</v>
      </c>
      <c r="B16" s="21" t="s">
        <v>23</v>
      </c>
      <c r="C16" s="22" t="s">
        <v>26</v>
      </c>
      <c r="D16" s="23" t="n">
        <f aca="false">'Antennes — Détail solaire'!E6</f>
        <v>50</v>
      </c>
      <c r="E16" s="24" t="n">
        <f aca="false">'Antennes — Détail solaire'!F6</f>
        <v>2677.6</v>
      </c>
      <c r="F16" s="23" t="n">
        <f aca="false">'Antennes — Détail solaire'!J6</f>
        <v>6</v>
      </c>
      <c r="G16" s="25" t="n">
        <f aca="false">D16/$D$24</f>
        <v>0.100200400801603</v>
      </c>
      <c r="H16" s="24" t="n">
        <f aca="false">IFERROR(D16/F16,0)</f>
        <v>8.33333333333333</v>
      </c>
    </row>
    <row r="17" customFormat="false" ht="25.5" hidden="false" customHeight="true" outlineLevel="0" collapsed="false">
      <c r="A17" s="15" t="s">
        <v>27</v>
      </c>
      <c r="B17" s="16" t="s">
        <v>28</v>
      </c>
      <c r="C17" s="17" t="s">
        <v>29</v>
      </c>
      <c r="D17" s="18" t="n">
        <f aca="false">'Antennes — Détail solaire'!E7</f>
        <v>29</v>
      </c>
      <c r="E17" s="19" t="n">
        <f aca="false">'Antennes — Détail solaire'!F7</f>
        <v>1433.6</v>
      </c>
      <c r="F17" s="18" t="n">
        <f aca="false">'Antennes — Détail solaire'!J7</f>
        <v>5</v>
      </c>
      <c r="G17" s="20" t="n">
        <f aca="false">D17/$D$24</f>
        <v>0.0581162324649299</v>
      </c>
      <c r="H17" s="19" t="n">
        <f aca="false">IFERROR(D17/F17,0)</f>
        <v>5.8</v>
      </c>
    </row>
    <row r="18" customFormat="false" ht="25.5" hidden="false" customHeight="true" outlineLevel="0" collapsed="false">
      <c r="A18" s="15" t="s">
        <v>30</v>
      </c>
      <c r="B18" s="21" t="s">
        <v>23</v>
      </c>
      <c r="C18" s="22" t="s">
        <v>31</v>
      </c>
      <c r="D18" s="23" t="n">
        <f aca="false">'Antennes — Détail solaire'!E8</f>
        <v>46</v>
      </c>
      <c r="E18" s="24" t="n">
        <f aca="false">'Antennes — Détail solaire'!F8</f>
        <v>4341</v>
      </c>
      <c r="F18" s="23" t="n">
        <f aca="false">'Antennes — Détail solaire'!J8</f>
        <v>6</v>
      </c>
      <c r="G18" s="25" t="n">
        <f aca="false">D18/$D$24</f>
        <v>0.0921843687374749</v>
      </c>
      <c r="H18" s="24" t="n">
        <f aca="false">IFERROR(D18/F18,0)</f>
        <v>7.66666666666667</v>
      </c>
    </row>
    <row r="19" customFormat="false" ht="25.5" hidden="false" customHeight="true" outlineLevel="0" collapsed="false">
      <c r="A19" s="15" t="s">
        <v>32</v>
      </c>
      <c r="B19" s="16" t="s">
        <v>28</v>
      </c>
      <c r="C19" s="17" t="s">
        <v>33</v>
      </c>
      <c r="D19" s="18" t="n">
        <f aca="false">'Antennes — Détail solaire'!E9</f>
        <v>34</v>
      </c>
      <c r="E19" s="19" t="n">
        <f aca="false">'Antennes — Détail solaire'!F9</f>
        <v>3110.4</v>
      </c>
      <c r="F19" s="18" t="n">
        <f aca="false">'Antennes — Détail solaire'!J9</f>
        <v>6</v>
      </c>
      <c r="G19" s="20" t="n">
        <f aca="false">D19/$D$24</f>
        <v>0.0681362725450902</v>
      </c>
      <c r="H19" s="19" t="n">
        <f aca="false">IFERROR(D19/F19,0)</f>
        <v>5.66666666666667</v>
      </c>
    </row>
    <row r="20" customFormat="false" ht="25.5" hidden="false" customHeight="true" outlineLevel="0" collapsed="false">
      <c r="A20" s="15" t="s">
        <v>34</v>
      </c>
      <c r="B20" s="21" t="s">
        <v>28</v>
      </c>
      <c r="C20" s="22" t="s">
        <v>35</v>
      </c>
      <c r="D20" s="23" t="n">
        <f aca="false">'Antennes — Détail solaire'!E10</f>
        <v>55</v>
      </c>
      <c r="E20" s="24" t="n">
        <f aca="false">'Antennes — Détail solaire'!F10</f>
        <v>4312.8</v>
      </c>
      <c r="F20" s="23" t="n">
        <f aca="false">'Antennes — Détail solaire'!J10</f>
        <v>7</v>
      </c>
      <c r="G20" s="25" t="n">
        <f aca="false">D20/$D$24</f>
        <v>0.110220440881764</v>
      </c>
      <c r="H20" s="24" t="n">
        <f aca="false">IFERROR(D20/F20,0)</f>
        <v>7.85714285714286</v>
      </c>
    </row>
    <row r="21" customFormat="false" ht="25.5" hidden="false" customHeight="true" outlineLevel="0" collapsed="false">
      <c r="A21" s="15" t="s">
        <v>36</v>
      </c>
      <c r="B21" s="16" t="s">
        <v>23</v>
      </c>
      <c r="C21" s="17" t="s">
        <v>37</v>
      </c>
      <c r="D21" s="18" t="n">
        <f aca="false">'Antennes — Détail solaire'!E11</f>
        <v>71</v>
      </c>
      <c r="E21" s="19" t="n">
        <f aca="false">'Antennes — Détail solaire'!F11</f>
        <v>4015.2</v>
      </c>
      <c r="F21" s="18" t="n">
        <f aca="false">'Antennes — Détail solaire'!J11</f>
        <v>8</v>
      </c>
      <c r="G21" s="20" t="n">
        <f aca="false">D21/$D$24</f>
        <v>0.142284569138277</v>
      </c>
      <c r="H21" s="19" t="n">
        <f aca="false">IFERROR(D21/F21,0)</f>
        <v>8.875</v>
      </c>
    </row>
    <row r="22" customFormat="false" ht="25.5" hidden="false" customHeight="true" outlineLevel="0" collapsed="false">
      <c r="A22" s="15" t="s">
        <v>38</v>
      </c>
      <c r="B22" s="21" t="s">
        <v>28</v>
      </c>
      <c r="C22" s="22" t="s">
        <v>39</v>
      </c>
      <c r="D22" s="23" t="n">
        <f aca="false">'Antennes — Détail solaire'!E12</f>
        <v>68</v>
      </c>
      <c r="E22" s="24" t="n">
        <f aca="false">'Antennes — Détail solaire'!F12</f>
        <v>4498.2</v>
      </c>
      <c r="F22" s="23" t="n">
        <f aca="false">'Antennes — Détail solaire'!J12</f>
        <v>8</v>
      </c>
      <c r="G22" s="25" t="n">
        <f aca="false">D22/$D$24</f>
        <v>0.13627254509018</v>
      </c>
      <c r="H22" s="24" t="n">
        <f aca="false">IFERROR(D22/F22,0)</f>
        <v>8.5</v>
      </c>
    </row>
    <row r="23" customFormat="false" ht="25.5" hidden="false" customHeight="true" outlineLevel="0" collapsed="false">
      <c r="A23" s="15" t="s">
        <v>40</v>
      </c>
      <c r="B23" s="16" t="s">
        <v>28</v>
      </c>
      <c r="C23" s="17" t="s">
        <v>41</v>
      </c>
      <c r="D23" s="18" t="n">
        <f aca="false">'Antennes — Détail solaire'!E13</f>
        <v>67</v>
      </c>
      <c r="E23" s="19" t="n">
        <f aca="false">'Antennes — Détail solaire'!F13</f>
        <v>3198.2</v>
      </c>
      <c r="F23" s="18" t="n">
        <f aca="false">'Antennes — Détail solaire'!J13</f>
        <v>8</v>
      </c>
      <c r="G23" s="20" t="n">
        <f aca="false">D23/$D$24</f>
        <v>0.134268537074148</v>
      </c>
      <c r="H23" s="19" t="n">
        <f aca="false">IFERROR(D23/F23,0)</f>
        <v>8.375</v>
      </c>
    </row>
    <row r="24" customFormat="false" ht="15" hidden="false" customHeight="false" outlineLevel="0" collapsed="false">
      <c r="A24" s="26" t="s">
        <v>42</v>
      </c>
      <c r="B24" s="26"/>
      <c r="C24" s="26"/>
      <c r="D24" s="27" t="n">
        <f aca="false">SUM(D15:D23)</f>
        <v>499</v>
      </c>
      <c r="E24" s="28" t="n">
        <f aca="false">SUM(E15:E23)</f>
        <v>32821.6</v>
      </c>
      <c r="F24" s="27" t="n">
        <f aca="false">SUM(F15:F23)</f>
        <v>63</v>
      </c>
      <c r="G24" s="29" t="n">
        <f aca="false">SUM(G15:G23)</f>
        <v>1</v>
      </c>
      <c r="H24" s="26"/>
    </row>
    <row r="26" customFormat="false" ht="21.75" hidden="false" customHeight="true" outlineLevel="0" collapsed="false">
      <c r="A26" s="3" t="s">
        <v>43</v>
      </c>
      <c r="B26" s="3"/>
      <c r="C26" s="3"/>
      <c r="D26" s="3"/>
      <c r="E26" s="3"/>
      <c r="F26" s="3"/>
      <c r="G26" s="3"/>
      <c r="H26" s="3"/>
      <c r="I26" s="3"/>
      <c r="J26" s="3"/>
      <c r="K26" s="3"/>
      <c r="L26" s="3"/>
      <c r="M26" s="3"/>
      <c r="N26" s="3"/>
    </row>
    <row r="28" customFormat="false" ht="25.5" hidden="false" customHeight="true" outlineLevel="0" collapsed="false">
      <c r="A28" s="14" t="s">
        <v>44</v>
      </c>
      <c r="B28" s="14" t="s">
        <v>45</v>
      </c>
      <c r="C28" s="14" t="s">
        <v>46</v>
      </c>
      <c r="D28" s="14" t="s">
        <v>47</v>
      </c>
      <c r="E28" s="14" t="s">
        <v>48</v>
      </c>
      <c r="F28" s="14" t="s">
        <v>49</v>
      </c>
      <c r="G28" s="14" t="s">
        <v>50</v>
      </c>
    </row>
    <row r="29" customFormat="false" ht="15" hidden="false" customHeight="false" outlineLevel="0" collapsed="false">
      <c r="A29" s="30" t="s">
        <v>51</v>
      </c>
      <c r="B29" s="31" t="s">
        <v>33</v>
      </c>
      <c r="C29" s="32" t="n">
        <f aca="false">COUNTIFS('Données - Équipes'!$G$5:$G$87,"Antenne Extreme-Nord",'Données - Équipes'!$C$5:$C$87,"Ingénieur",'Données - Équipes'!$F$5:$F$87,"MANQUE")</f>
        <v>1</v>
      </c>
      <c r="D29" s="32" t="n">
        <f aca="false">COUNTIFS('Données - Équipes'!$G$5:$G$87,"Antenne Extreme-Nord",'Données - Équipes'!$C$5:$C$87,"Technicien 1",'Données - Équipes'!$F$5:$F$87,"MANQUE")+COUNTIFS('Données - Équipes'!$G$5:$G$87,"Antenne Extreme-Nord",'Données - Équipes'!$C$5:$C$87,"Technicien 2",'Données - Équipes'!$F$5:$F$87,"MANQUE")</f>
        <v>0</v>
      </c>
      <c r="E29" s="32" t="n">
        <f aca="false">COUNTIFS('Données - Équipes'!$G$5:$G$87,"Antenne Extreme-Nord",'Données - Équipes'!$C$5:$C$87,"Chauffeur",'Données - Équipes'!$F$5:$F$87,"MANQUE")</f>
        <v>0</v>
      </c>
      <c r="F29" s="33" t="n">
        <f aca="false">SUM(C29:E29)</f>
        <v>1</v>
      </c>
      <c r="G29" s="34" t="str">
        <f aca="false">COUNTIFS('Données - Équipes'!$G$5:$G$87,"Antenne Extreme-Nord",'Données - Équipes'!$F$5:$F$87,"OK")&amp;"/"&amp;(COUNTIFS('Données - Équipes'!$G$5:$G$87,"Antenne Extreme-Nord",'Données - Équipes'!$F$5:$F$87,"OK")+COUNTIFS('Données - Équipes'!$G$5:$G$87,"Antenne Extreme-Nord",'Données - Équipes'!$F$5:$F$87,"MANQUE"))</f>
        <v>3/4</v>
      </c>
    </row>
    <row r="30" customFormat="false" ht="15" hidden="false" customHeight="false" outlineLevel="0" collapsed="false">
      <c r="A30" s="35" t="s">
        <v>31</v>
      </c>
      <c r="B30" s="36" t="s">
        <v>31</v>
      </c>
      <c r="C30" s="37" t="n">
        <f aca="false">COUNTIFS('Données - Équipes'!$G$5:$G$87,"Antenne Nord",'Données - Équipes'!$C$5:$C$87,"Ingénieur",'Données - Équipes'!$F$5:$F$87,"MANQUE")</f>
        <v>1</v>
      </c>
      <c r="D30" s="37" t="n">
        <f aca="false">COUNTIFS('Données - Équipes'!$G$5:$G$87,"Antenne Nord",'Données - Équipes'!$C$5:$C$87,"Technicien 1",'Données - Équipes'!$F$5:$F$87,"MANQUE")+COUNTIFS('Données - Équipes'!$G$5:$G$87,"Antenne Nord",'Données - Équipes'!$C$5:$C$87,"Technicien 2",'Données - Équipes'!$F$5:$F$87,"MANQUE")</f>
        <v>1</v>
      </c>
      <c r="E30" s="37" t="n">
        <f aca="false">COUNTIFS('Données - Équipes'!$G$5:$G$87,"Antenne Nord",'Données - Équipes'!$C$5:$C$87,"Chauffeur",'Données - Équipes'!$F$5:$F$87,"MANQUE")</f>
        <v>1</v>
      </c>
      <c r="F30" s="38" t="n">
        <f aca="false">SUM(C30:E30)</f>
        <v>3</v>
      </c>
      <c r="G30" s="39" t="str">
        <f aca="false">COUNTIFS('Données - Équipes'!$G$5:$G$87,"Antenne Nord",'Données - Équipes'!$F$5:$F$87,"OK")&amp;"/"&amp;(COUNTIFS('Données - Équipes'!$G$5:$G$87,"Antenne Nord",'Données - Équipes'!$F$5:$F$87,"OK")+COUNTIFS('Données - Équipes'!$G$5:$G$87,"Antenne Nord",'Données - Équipes'!$F$5:$F$87,"MANQUE"))</f>
        <v>5/8</v>
      </c>
    </row>
    <row r="31" customFormat="false" ht="15" hidden="false" customHeight="false" outlineLevel="0" collapsed="false">
      <c r="A31" s="30" t="s">
        <v>52</v>
      </c>
      <c r="B31" s="31" t="s">
        <v>52</v>
      </c>
      <c r="C31" s="32" t="n">
        <f aca="false">COUNTIFS('Données - Équipes'!$G$5:$G$87,"Antenne Nord-Ouest",'Données - Équipes'!$C$5:$C$87,"Ingénieur",'Données - Équipes'!$F$5:$F$87,"MANQUE")</f>
        <v>2</v>
      </c>
      <c r="D31" s="32" t="n">
        <f aca="false">COUNTIFS('Données - Équipes'!$G$5:$G$87,"Antenne Nord-Ouest",'Données - Équipes'!$C$5:$C$87,"Technicien 1",'Données - Équipes'!$F$5:$F$87,"MANQUE")+COUNTIFS('Données - Équipes'!$G$5:$G$87,"Antenne Nord-Ouest",'Données - Équipes'!$C$5:$C$87,"Technicien 2",'Données - Équipes'!$F$5:$F$87,"MANQUE")</f>
        <v>0</v>
      </c>
      <c r="E31" s="32" t="n">
        <f aca="false">COUNTIFS('Données - Équipes'!$G$5:$G$87,"Antenne Nord-Ouest",'Données - Équipes'!$C$5:$C$87,"Chauffeur",'Données - Équipes'!$F$5:$F$87,"MANQUE")</f>
        <v>2</v>
      </c>
      <c r="F31" s="33" t="n">
        <f aca="false">SUM(C31:E31)</f>
        <v>4</v>
      </c>
      <c r="G31" s="34" t="str">
        <f aca="false">COUNTIFS('Données - Équipes'!$G$5:$G$87,"Antenne Nord-Ouest",'Données - Équipes'!$F$5:$F$87,"OK")&amp;"/"&amp;(COUNTIFS('Données - Équipes'!$G$5:$G$87,"Antenne Nord-Ouest",'Données - Équipes'!$F$5:$F$87,"OK")+COUNTIFS('Données - Équipes'!$G$5:$G$87,"Antenne Nord-Ouest",'Données - Équipes'!$F$5:$F$87,"MANQUE"))</f>
        <v>8/12</v>
      </c>
    </row>
    <row r="32" customFormat="false" ht="15" hidden="false" customHeight="false" outlineLevel="0" collapsed="false">
      <c r="A32" s="35" t="s">
        <v>35</v>
      </c>
      <c r="B32" s="36" t="s">
        <v>35</v>
      </c>
      <c r="C32" s="37" t="n">
        <f aca="false">COUNTIFS('Données - Équipes'!$G$5:$G$87,"Antenne Adamaoua",'Données - Équipes'!$C$5:$C$87,"Ingénieur",'Données - Équipes'!$F$5:$F$87,"MANQUE")</f>
        <v>0</v>
      </c>
      <c r="D32" s="37" t="n">
        <f aca="false">COUNTIFS('Données - Équipes'!$G$5:$G$87,"Antenne Adamaoua",'Données - Équipes'!$C$5:$C$87,"Technicien 1",'Données - Équipes'!$F$5:$F$87,"MANQUE")+COUNTIFS('Données - Équipes'!$G$5:$G$87,"Antenne Adamaoua",'Données - Équipes'!$C$5:$C$87,"Technicien 2",'Données - Équipes'!$F$5:$F$87,"MANQUE")</f>
        <v>1</v>
      </c>
      <c r="E32" s="37" t="n">
        <f aca="false">COUNTIFS('Données - Équipes'!$G$5:$G$87,"Antenne Adamaoua",'Données - Équipes'!$C$5:$C$87,"Chauffeur",'Données - Équipes'!$F$5:$F$87,"MANQUE")</f>
        <v>0</v>
      </c>
      <c r="F32" s="38" t="n">
        <f aca="false">SUM(C32:E32)</f>
        <v>1</v>
      </c>
      <c r="G32" s="39" t="str">
        <f aca="false">COUNTIFS('Données - Équipes'!$G$5:$G$87,"Antenne Adamaoua",'Données - Équipes'!$F$5:$F$87,"OK")&amp;"/"&amp;(COUNTIFS('Données - Équipes'!$G$5:$G$87,"Antenne Adamaoua",'Données - Équipes'!$F$5:$F$87,"OK")+COUNTIFS('Données - Équipes'!$G$5:$G$87,"Antenne Adamaoua",'Données - Équipes'!$F$5:$F$87,"MANQUE"))</f>
        <v>3/4</v>
      </c>
    </row>
    <row r="33" customFormat="false" ht="15" hidden="false" customHeight="false" outlineLevel="0" collapsed="false">
      <c r="A33" s="30" t="s">
        <v>53</v>
      </c>
      <c r="B33" s="31" t="s">
        <v>53</v>
      </c>
      <c r="C33" s="32" t="n">
        <f aca="false">COUNTIFS('Données - Équipes'!$G$5:$G$87,"Antenne Est",'Données - Équipes'!$C$5:$C$87,"Ingénieur",'Données - Équipes'!$F$5:$F$87,"MANQUE")</f>
        <v>2</v>
      </c>
      <c r="D33" s="32" t="n">
        <f aca="false">COUNTIFS('Données - Équipes'!$G$5:$G$87,"Antenne Est",'Données - Équipes'!$C$5:$C$87,"Technicien 1",'Données - Équipes'!$F$5:$F$87,"MANQUE")+COUNTIFS('Données - Équipes'!$G$5:$G$87,"Antenne Est",'Données - Équipes'!$C$5:$C$87,"Technicien 2",'Données - Équipes'!$F$5:$F$87,"MANQUE")</f>
        <v>0</v>
      </c>
      <c r="E33" s="32" t="n">
        <f aca="false">COUNTIFS('Données - Équipes'!$G$5:$G$87,"Antenne Est",'Données - Équipes'!$C$5:$C$87,"Chauffeur",'Données - Équipes'!$F$5:$F$87,"MANQUE")</f>
        <v>0</v>
      </c>
      <c r="F33" s="33" t="n">
        <f aca="false">SUM(C33:E33)</f>
        <v>2</v>
      </c>
      <c r="G33" s="34" t="str">
        <f aca="false">COUNTIFS('Données - Équipes'!$G$5:$G$87,"Antenne Est",'Données - Équipes'!$F$5:$F$87,"OK")&amp;"/"&amp;(COUNTIFS('Données - Équipes'!$G$5:$G$87,"Antenne Est",'Données - Équipes'!$F$5:$F$87,"OK")+COUNTIFS('Données - Équipes'!$G$5:$G$87,"Antenne Est",'Données - Équipes'!$F$5:$F$87,"MANQUE"))</f>
        <v>6/8</v>
      </c>
    </row>
    <row r="34" customFormat="false" ht="15" hidden="false" customHeight="false" outlineLevel="0" collapsed="false">
      <c r="A34" s="35" t="s">
        <v>54</v>
      </c>
      <c r="B34" s="36" t="s">
        <v>55</v>
      </c>
      <c r="C34" s="37" t="n">
        <f aca="false">COUNTIFS('Données - Équipes'!$G$5:$G$87,"Antenne Sud - Centre",'Données - Équipes'!$C$5:$C$87,"Ingénieur",'Données - Équipes'!$F$5:$F$87,"MANQUE")</f>
        <v>1</v>
      </c>
      <c r="D34" s="37" t="n">
        <f aca="false">COUNTIFS('Données - Équipes'!$G$5:$G$87,"Antenne Sud - Centre",'Données - Équipes'!$C$5:$C$87,"Technicien 1",'Données - Équipes'!$F$5:$F$87,"MANQUE")+COUNTIFS('Données - Équipes'!$G$5:$G$87,"Antenne Sud - Centre",'Données - Équipes'!$C$5:$C$87,"Technicien 2",'Données - Équipes'!$F$5:$F$87,"MANQUE")</f>
        <v>0</v>
      </c>
      <c r="E34" s="37" t="n">
        <f aca="false">COUNTIFS('Données - Équipes'!$G$5:$G$87,"Antenne Sud - Centre",'Données - Équipes'!$C$5:$C$87,"Chauffeur",'Données - Équipes'!$F$5:$F$87,"MANQUE")</f>
        <v>1</v>
      </c>
      <c r="F34" s="38" t="n">
        <f aca="false">SUM(C34:E34)</f>
        <v>2</v>
      </c>
      <c r="G34" s="39" t="str">
        <f aca="false">COUNTIFS('Données - Équipes'!$G$5:$G$87,"Antenne Sud - Centre",'Données - Équipes'!$F$5:$F$87,"OK")&amp;"/"&amp;(COUNTIFS('Données - Équipes'!$G$5:$G$87,"Antenne Sud - Centre",'Données - Équipes'!$F$5:$F$87,"OK")+COUNTIFS('Données - Équipes'!$G$5:$G$87,"Antenne Sud - Centre",'Données - Équipes'!$F$5:$F$87,"MANQUE"))</f>
        <v>6/8</v>
      </c>
    </row>
    <row r="35" customFormat="false" ht="15" hidden="false" customHeight="false" outlineLevel="0" collapsed="false">
      <c r="A35" s="30" t="s">
        <v>56</v>
      </c>
      <c r="B35" s="31" t="s">
        <v>56</v>
      </c>
      <c r="C35" s="32" t="n">
        <f aca="false">COUNTIFS('Données - Équipes'!$G$5:$G$87,"Antenne Sud-Ouest",'Données - Équipes'!$C$5:$C$87,"Ingénieur",'Données - Équipes'!$F$5:$F$87,"MANQUE")</f>
        <v>1</v>
      </c>
      <c r="D35" s="32" t="n">
        <f aca="false">COUNTIFS('Données - Équipes'!$G$5:$G$87,"Antenne Sud-Ouest",'Données - Équipes'!$C$5:$C$87,"Technicien 1",'Données - Équipes'!$F$5:$F$87,"MANQUE")+COUNTIFS('Données - Équipes'!$G$5:$G$87,"Antenne Sud-Ouest",'Données - Équipes'!$C$5:$C$87,"Technicien 2",'Données - Équipes'!$F$5:$F$87,"MANQUE")</f>
        <v>0</v>
      </c>
      <c r="E35" s="32" t="n">
        <f aca="false">COUNTIFS('Données - Équipes'!$G$5:$G$87,"Antenne Sud-Ouest",'Données - Équipes'!$C$5:$C$87,"Chauffeur",'Données - Équipes'!$F$5:$F$87,"MANQUE")</f>
        <v>0</v>
      </c>
      <c r="F35" s="33" t="n">
        <f aca="false">SUM(C35:E35)</f>
        <v>1</v>
      </c>
      <c r="G35" s="34" t="str">
        <f aca="false">COUNTIFS('Données - Équipes'!$G$5:$G$87,"Antenne Sud-Ouest",'Données - Équipes'!$F$5:$F$87,"OK")&amp;"/"&amp;(COUNTIFS('Données - Équipes'!$G$5:$G$87,"Antenne Sud-Ouest",'Données - Équipes'!$F$5:$F$87,"OK")+COUNTIFS('Données - Équipes'!$G$5:$G$87,"Antenne Sud-Ouest",'Données - Équipes'!$F$5:$F$87,"MANQUE"))</f>
        <v>3/4</v>
      </c>
    </row>
    <row r="36" customFormat="false" ht="15" hidden="false" customHeight="false" outlineLevel="0" collapsed="false">
      <c r="A36" s="35" t="s">
        <v>57</v>
      </c>
      <c r="B36" s="36" t="s">
        <v>58</v>
      </c>
      <c r="C36" s="37" t="n">
        <f aca="false">COUNTIFS('Données - Équipes'!$G$5:$G$87,"Annexe Sud-Ouest NKONSAMBA",'Données - Équipes'!$C$5:$C$87,"Ingénieur",'Données - Équipes'!$F$5:$F$87,"MANQUE")</f>
        <v>2</v>
      </c>
      <c r="D36" s="37" t="n">
        <f aca="false">COUNTIFS('Données - Équipes'!$G$5:$G$87,"Annexe Sud-Ouest NKONSAMBA",'Données - Équipes'!$C$5:$C$87,"Technicien 1",'Données - Équipes'!$F$5:$F$87,"MANQUE")+COUNTIFS('Données - Équipes'!$G$5:$G$87,"Annexe Sud-Ouest NKONSAMBA",'Données - Équipes'!$C$5:$C$87,"Technicien 2",'Données - Équipes'!$F$5:$F$87,"MANQUE")</f>
        <v>0</v>
      </c>
      <c r="E36" s="37" t="n">
        <f aca="false">COUNTIFS('Données - Équipes'!$G$5:$G$87,"Annexe Sud-Ouest NKONSAMBA",'Données - Équipes'!$C$5:$C$87,"Chauffeur",'Données - Équipes'!$F$5:$F$87,"MANQUE")</f>
        <v>0</v>
      </c>
      <c r="F36" s="38" t="n">
        <f aca="false">SUM(C36:E36)</f>
        <v>2</v>
      </c>
      <c r="G36" s="39" t="str">
        <f aca="false">COUNTIFS('Données - Équipes'!$G$5:$G$87,"Annexe Sud-Ouest NKONSAMBA",'Données - Équipes'!$F$5:$F$87,"OK")&amp;"/"&amp;(COUNTIFS('Données - Équipes'!$G$5:$G$87,"Annexe Sud-Ouest NKONSAMBA",'Données - Équipes'!$F$5:$F$87,"OK")+COUNTIFS('Données - Équipes'!$G$5:$G$87,"Annexe Sud-Ouest NKONSAMBA",'Données - Équipes'!$F$5:$F$87,"MANQUE"))</f>
        <v>6/8</v>
      </c>
    </row>
    <row r="37" customFormat="false" ht="15" hidden="false" customHeight="false" outlineLevel="0" collapsed="false">
      <c r="A37" s="30" t="s">
        <v>36</v>
      </c>
      <c r="B37" s="31" t="s">
        <v>59</v>
      </c>
      <c r="C37" s="32" t="n">
        <f aca="false">COUNTIFS('Données - Équipes'!$G$5:$G$87,"Siege Yaoundé",'Données - Équipes'!$C$5:$C$87,"Ingénieur",'Données - Équipes'!$F$5:$F$87,"MANQUE")</f>
        <v>0</v>
      </c>
      <c r="D37" s="32" t="n">
        <f aca="false">COUNTIFS('Données - Équipes'!$G$5:$G$87,"Siege Yaoundé",'Données - Équipes'!$C$5:$C$87,"Technicien 1",'Données - Équipes'!$F$5:$F$87,"MANQUE")+COUNTIFS('Données - Équipes'!$G$5:$G$87,"Siege Yaoundé",'Données - Équipes'!$C$5:$C$87,"Technicien 2",'Données - Équipes'!$F$5:$F$87,"MANQUE")</f>
        <v>1</v>
      </c>
      <c r="E37" s="32" t="n">
        <f aca="false">COUNTIFS('Données - Équipes'!$G$5:$G$87,"Siege Yaoundé",'Données - Équipes'!$C$5:$C$87,"Chauffeur",'Données - Équipes'!$F$5:$F$87,"MANQUE")</f>
        <v>0</v>
      </c>
      <c r="F37" s="33" t="n">
        <f aca="false">SUM(C37:E37)</f>
        <v>1</v>
      </c>
      <c r="G37" s="34" t="str">
        <f aca="false">COUNTIFS('Données - Équipes'!$G$5:$G$87,"Siege Yaoundé",'Données - Équipes'!$F$5:$F$87,"OK")&amp;"/"&amp;(COUNTIFS('Données - Équipes'!$G$5:$G$87,"Siege Yaoundé",'Données - Équipes'!$F$5:$F$87,"OK")+COUNTIFS('Données - Équipes'!$G$5:$G$87,"Siege Yaoundé",'Données - Équipes'!$F$5:$F$87,"MANQUE"))</f>
        <v>7/8</v>
      </c>
    </row>
    <row r="38" customFormat="false" ht="15" hidden="false" customHeight="false" outlineLevel="0" collapsed="false">
      <c r="A38" s="40" t="s">
        <v>60</v>
      </c>
      <c r="B38" s="40"/>
      <c r="C38" s="41" t="n">
        <f aca="false">SUM(C29:C37)</f>
        <v>10</v>
      </c>
      <c r="D38" s="41" t="n">
        <f aca="false">SUM(D29:D37)</f>
        <v>3</v>
      </c>
      <c r="E38" s="41" t="n">
        <f aca="false">SUM(E29:E37)</f>
        <v>4</v>
      </c>
      <c r="F38" s="41" t="n">
        <f aca="false">SUM(F29:F37)</f>
        <v>17</v>
      </c>
      <c r="G38" s="40"/>
    </row>
    <row r="40" customFormat="false" ht="21.75" hidden="false" customHeight="true" outlineLevel="0" collapsed="false">
      <c r="A40" s="42" t="s">
        <v>61</v>
      </c>
      <c r="B40" s="42"/>
      <c r="C40" s="42"/>
      <c r="D40" s="42"/>
      <c r="E40" s="42"/>
      <c r="F40" s="42"/>
      <c r="H40" s="42" t="s">
        <v>62</v>
      </c>
      <c r="I40" s="42"/>
      <c r="J40" s="42"/>
      <c r="K40" s="42"/>
      <c r="L40" s="42"/>
      <c r="M40" s="42"/>
      <c r="N40" s="42"/>
    </row>
    <row r="42" customFormat="false" ht="24" hidden="false" customHeight="true" outlineLevel="0" collapsed="false">
      <c r="A42" s="43" t="s">
        <v>63</v>
      </c>
      <c r="B42" s="43" t="s">
        <v>64</v>
      </c>
      <c r="C42" s="43" t="s">
        <v>65</v>
      </c>
      <c r="D42" s="43" t="s">
        <v>66</v>
      </c>
      <c r="E42" s="43" t="s">
        <v>67</v>
      </c>
      <c r="H42" s="43" t="s">
        <v>68</v>
      </c>
      <c r="I42" s="43" t="s">
        <v>69</v>
      </c>
      <c r="J42" s="43" t="s">
        <v>70</v>
      </c>
      <c r="K42" s="43" t="s">
        <v>71</v>
      </c>
      <c r="L42" s="43" t="s">
        <v>72</v>
      </c>
      <c r="M42" s="43" t="s">
        <v>73</v>
      </c>
    </row>
    <row r="43" customFormat="false" ht="15" hidden="false" customHeight="true" outlineLevel="0" collapsed="false">
      <c r="A43" s="30" t="s">
        <v>69</v>
      </c>
      <c r="B43" s="34" t="n">
        <v>16</v>
      </c>
      <c r="C43" s="34" t="n">
        <f aca="false">COUNTIFS('Données - Équipes'!$C$5:$C$87,"Ingénieur",'Données - Équipes'!$F$5:$F$87,"OK")</f>
        <v>6</v>
      </c>
      <c r="D43" s="44" t="n">
        <f aca="false">COUNTIFS('Données - Équipes'!$C$5:$C$87,"Ingénieur",'Données - Équipes'!$F$5:$F$87,"MANQUE")</f>
        <v>10</v>
      </c>
      <c r="E43" s="34" t="n">
        <f aca="false">COUNTIF('Données - Équipes'!$C$91:$C$104,"Ingénieur")</f>
        <v>3</v>
      </c>
      <c r="H43" s="45" t="s">
        <v>74</v>
      </c>
      <c r="I43" s="46" t="str">
        <f aca="false">IF(COUNTIFS('Données - Équipes'!$G$5:$G$87,"Antenne Extreme-Nord",'Données - Équipes'!$I$5:$I$87,1,'Données - Équipes'!$C$5:$C$87,"Ingénieur",'Données - Équipes'!$F$5:$F$87,"OK")&gt;0,"OK","—")</f>
        <v>—</v>
      </c>
      <c r="J43" s="46" t="str">
        <f aca="false">IF(COUNTIFS('Données - Équipes'!$G$5:$G$87,"Antenne Extreme-Nord",'Données - Équipes'!$I$5:$I$87,1,'Données - Équipes'!$C$5:$C$87,"Technicien 1",'Données - Équipes'!$F$5:$F$87,"OK")&gt;0,"OK","—")</f>
        <v>OK</v>
      </c>
      <c r="K43" s="46" t="str">
        <f aca="false">IF(COUNTIFS('Données - Équipes'!$G$5:$G$87,"Antenne Extreme-Nord",'Données - Équipes'!$I$5:$I$87,1,'Données - Équipes'!$C$5:$C$87,"Technicien 2",'Données - Équipes'!$F$5:$F$87,"OK")&gt;0,"OK","—")</f>
        <v>OK</v>
      </c>
      <c r="L43" s="46" t="str">
        <f aca="false">IF(COUNTIFS('Données - Équipes'!$G$5:$G$87,"Antenne Extreme-Nord",'Données - Équipes'!$I$5:$I$87,1,'Données - Équipes'!$C$5:$C$87,"Chauffeur",'Données - Équipes'!$F$5:$F$87,"OK")&gt;0,"OK","—")</f>
        <v>OK</v>
      </c>
      <c r="M43" s="46" t="str">
        <f aca="false">IF(COUNTIF(I43:L43,"OK")=4,"Complète",IF(COUNTIF(I43:L43,"OK")=0,"Critique","Partielle"))</f>
        <v>Partielle</v>
      </c>
    </row>
    <row r="44" customFormat="false" ht="15" hidden="false" customHeight="true" outlineLevel="0" collapsed="false">
      <c r="A44" s="35" t="s">
        <v>75</v>
      </c>
      <c r="B44" s="39" t="n">
        <v>32</v>
      </c>
      <c r="C44" s="39" t="n">
        <f aca="false">COUNTIFS('Données - Équipes'!$C$5:$C$87,"Technicien 1",'Données - Équipes'!$F$5:$F$87,"OK")+COUNTIFS('Données - Équipes'!$C$5:$C$87,"Technicien 2",'Données - Équipes'!$F$5:$F$87,"OK")</f>
        <v>29</v>
      </c>
      <c r="D44" s="47" t="n">
        <f aca="false">COUNTIFS('Données - Équipes'!$C$5:$C$87,"Technicien 1",'Données - Équipes'!$F$5:$F$87,"MANQUE")+COUNTIFS('Données - Équipes'!$C$5:$C$87,"Technicien 2",'Données - Équipes'!$F$5:$F$87,"MANQUE")</f>
        <v>3</v>
      </c>
      <c r="E44" s="39" t="n">
        <f aca="false">COUNTIF('Données - Équipes'!$C$91:$C$104,"Technicien")</f>
        <v>3</v>
      </c>
      <c r="H44" s="48" t="s">
        <v>76</v>
      </c>
      <c r="I44" s="46" t="str">
        <f aca="false">IF(COUNTIFS('Données - Équipes'!$G$5:$G$87,"Antenne Nord",'Données - Équipes'!$I$5:$I$87,1,'Données - Équipes'!$C$5:$C$87,"Ingénieur",'Données - Équipes'!$F$5:$F$87,"OK")&gt;0,"OK","—")</f>
        <v>OK</v>
      </c>
      <c r="J44" s="46" t="str">
        <f aca="false">IF(COUNTIFS('Données - Équipes'!$G$5:$G$87,"Antenne Nord",'Données - Équipes'!$I$5:$I$87,1,'Données - Équipes'!$C$5:$C$87,"Technicien 1",'Données - Équipes'!$F$5:$F$87,"OK")&gt;0,"OK","—")</f>
        <v>OK</v>
      </c>
      <c r="K44" s="46" t="str">
        <f aca="false">IF(COUNTIFS('Données - Équipes'!$G$5:$G$87,"Antenne Nord",'Données - Équipes'!$I$5:$I$87,1,'Données - Équipes'!$C$5:$C$87,"Technicien 2",'Données - Équipes'!$F$5:$F$87,"OK")&gt;0,"OK","—")</f>
        <v>—</v>
      </c>
      <c r="L44" s="46" t="str">
        <f aca="false">IF(COUNTIFS('Données - Équipes'!$G$5:$G$87,"Antenne Nord",'Données - Équipes'!$I$5:$I$87,1,'Données - Équipes'!$C$5:$C$87,"Chauffeur",'Données - Équipes'!$F$5:$F$87,"OK")&gt;0,"OK","—")</f>
        <v>—</v>
      </c>
      <c r="M44" s="46" t="str">
        <f aca="false">IF(COUNTIF(I44:L44,"OK")=4,"Complète",IF(COUNTIF(I44:L44,"OK")=0,"Critique","Partielle"))</f>
        <v>Partielle</v>
      </c>
    </row>
    <row r="45" customFormat="false" ht="15" hidden="false" customHeight="true" outlineLevel="0" collapsed="false">
      <c r="A45" s="30" t="s">
        <v>72</v>
      </c>
      <c r="B45" s="34" t="n">
        <v>16</v>
      </c>
      <c r="C45" s="34" t="n">
        <f aca="false">COUNTIFS('Données - Équipes'!$C$5:$C$87,"Chauffeur",'Données - Équipes'!$F$5:$F$87,"OK")</f>
        <v>12</v>
      </c>
      <c r="D45" s="44" t="n">
        <f aca="false">COUNTIFS('Données - Équipes'!$C$5:$C$87,"Chauffeur",'Données - Équipes'!$F$5:$F$87,"MANQUE")</f>
        <v>4</v>
      </c>
      <c r="E45" s="34" t="n">
        <f aca="false">COUNTIF('Données - Équipes'!$C$91:$C$104,"Chauffeur")</f>
        <v>0</v>
      </c>
      <c r="H45" s="45" t="s">
        <v>77</v>
      </c>
      <c r="I45" s="46" t="str">
        <f aca="false">IF(COUNTIFS('Données - Équipes'!$G$5:$G$87,"Antenne Nord",'Données - Équipes'!$I$5:$I$87,2,'Données - Équipes'!$C$5:$C$87,"Ingénieur",'Données - Équipes'!$F$5:$F$87,"OK")&gt;0,"OK","—")</f>
        <v>—</v>
      </c>
      <c r="J45" s="46" t="str">
        <f aca="false">IF(COUNTIFS('Données - Équipes'!$G$5:$G$87,"Antenne Nord",'Données - Équipes'!$I$5:$I$87,2,'Données - Équipes'!$C$5:$C$87,"Technicien 1",'Données - Équipes'!$F$5:$F$87,"OK")&gt;0,"OK","—")</f>
        <v>OK</v>
      </c>
      <c r="K45" s="46" t="str">
        <f aca="false">IF(COUNTIFS('Données - Équipes'!$G$5:$G$87,"Antenne Nord",'Données - Équipes'!$I$5:$I$87,2,'Données - Équipes'!$C$5:$C$87,"Technicien 2",'Données - Équipes'!$F$5:$F$87,"OK")&gt;0,"OK","—")</f>
        <v>OK</v>
      </c>
      <c r="L45" s="46" t="str">
        <f aca="false">IF(COUNTIFS('Données - Équipes'!$G$5:$G$87,"Antenne Nord",'Données - Équipes'!$I$5:$I$87,2,'Données - Équipes'!$C$5:$C$87,"Chauffeur",'Données - Équipes'!$F$5:$F$87,"OK")&gt;0,"OK","—")</f>
        <v>OK</v>
      </c>
      <c r="M45" s="46" t="str">
        <f aca="false">IF(COUNTIF(I45:L45,"OK")=4,"Complète",IF(COUNTIF(I45:L45,"OK")=0,"Critique","Partielle"))</f>
        <v>Partielle</v>
      </c>
    </row>
    <row r="46" customFormat="false" ht="15" hidden="false" customHeight="true" outlineLevel="0" collapsed="false">
      <c r="A46" s="26" t="s">
        <v>78</v>
      </c>
      <c r="B46" s="49" t="n">
        <f aca="false">SUM(B43:B45)</f>
        <v>64</v>
      </c>
      <c r="C46" s="49" t="n">
        <f aca="false">SUM(C43:C45)</f>
        <v>47</v>
      </c>
      <c r="D46" s="49" t="n">
        <f aca="false">SUM(D43:D45)</f>
        <v>17</v>
      </c>
      <c r="E46" s="49" t="n">
        <f aca="false">SUM(E43:E45)</f>
        <v>6</v>
      </c>
      <c r="H46" s="48" t="s">
        <v>79</v>
      </c>
      <c r="I46" s="46" t="str">
        <f aca="false">IF(COUNTIFS('Données - Équipes'!$G$5:$G$87,"Antenne Nord-Ouest",'Données - Équipes'!$I$5:$I$87,1,'Données - Équipes'!$C$5:$C$87,"Ingénieur",'Données - Équipes'!$F$5:$F$87,"OK")&gt;0,"OK","—")</f>
        <v>OK</v>
      </c>
      <c r="J46" s="46" t="str">
        <f aca="false">IF(COUNTIFS('Données - Équipes'!$G$5:$G$87,"Antenne Nord-Ouest",'Données - Équipes'!$I$5:$I$87,1,'Données - Équipes'!$C$5:$C$87,"Technicien 1",'Données - Équipes'!$F$5:$F$87,"OK")&gt;0,"OK","—")</f>
        <v>OK</v>
      </c>
      <c r="K46" s="46" t="str">
        <f aca="false">IF(COUNTIFS('Données - Équipes'!$G$5:$G$87,"Antenne Nord-Ouest",'Données - Équipes'!$I$5:$I$87,1,'Données - Équipes'!$C$5:$C$87,"Technicien 2",'Données - Équipes'!$F$5:$F$87,"OK")&gt;0,"OK","—")</f>
        <v>OK</v>
      </c>
      <c r="L46" s="46" t="str">
        <f aca="false">IF(COUNTIFS('Données - Équipes'!$G$5:$G$87,"Antenne Nord-Ouest",'Données - Équipes'!$I$5:$I$87,1,'Données - Équipes'!$C$5:$C$87,"Chauffeur",'Données - Équipes'!$F$5:$F$87,"OK")&gt;0,"OK","—")</f>
        <v>OK</v>
      </c>
      <c r="M46" s="46" t="str">
        <f aca="false">IF(COUNTIF(I46:L46,"OK")=4,"Complète",IF(COUNTIF(I46:L46,"OK")=0,"Critique","Partielle"))</f>
        <v>Complète</v>
      </c>
    </row>
    <row r="47" customFormat="false" ht="15" hidden="false" customHeight="true" outlineLevel="0" collapsed="false">
      <c r="H47" s="45" t="s">
        <v>80</v>
      </c>
      <c r="I47" s="46" t="str">
        <f aca="false">IF(COUNTIFS('Données - Équipes'!$G$5:$G$87,"Antenne Nord-Ouest",'Données - Équipes'!$I$5:$I$87,2,'Données - Équipes'!$C$5:$C$87,"Ingénieur",'Données - Équipes'!$F$5:$F$87,"OK")&gt;0,"OK","—")</f>
        <v>—</v>
      </c>
      <c r="J47" s="46" t="str">
        <f aca="false">IF(COUNTIFS('Données - Équipes'!$G$5:$G$87,"Antenne Nord-Ouest",'Données - Équipes'!$I$5:$I$87,2,'Données - Équipes'!$C$5:$C$87,"Technicien 1",'Données - Équipes'!$F$5:$F$87,"OK")&gt;0,"OK","—")</f>
        <v>OK</v>
      </c>
      <c r="K47" s="46" t="str">
        <f aca="false">IF(COUNTIFS('Données - Équipes'!$G$5:$G$87,"Antenne Nord-Ouest",'Données - Équipes'!$I$5:$I$87,2,'Données - Équipes'!$C$5:$C$87,"Technicien 2",'Données - Équipes'!$F$5:$F$87,"OK")&gt;0,"OK","—")</f>
        <v>OK</v>
      </c>
      <c r="L47" s="46" t="str">
        <f aca="false">IF(COUNTIFS('Données - Équipes'!$G$5:$G$87,"Antenne Nord-Ouest",'Données - Équipes'!$I$5:$I$87,2,'Données - Équipes'!$C$5:$C$87,"Chauffeur",'Données - Équipes'!$F$5:$F$87,"OK")&gt;0,"OK","—")</f>
        <v>—</v>
      </c>
      <c r="M47" s="46" t="str">
        <f aca="false">IF(COUNTIF(I47:L47,"OK")=4,"Complète",IF(COUNTIF(I47:L47,"OK")=0,"Critique","Partielle"))</f>
        <v>Partielle</v>
      </c>
    </row>
    <row r="48" customFormat="false" ht="15" hidden="false" customHeight="true" outlineLevel="0" collapsed="false">
      <c r="H48" s="48" t="s">
        <v>81</v>
      </c>
      <c r="I48" s="46" t="str">
        <f aca="false">IF(COUNTIFS('Données - Équipes'!$G$5:$G$87,"Antenne Nord-Ouest",'Données - Équipes'!$I$5:$I$87,3,'Données - Équipes'!$C$5:$C$87,"Ingénieur",'Données - Équipes'!$F$5:$F$87,"OK")&gt;0,"OK","—")</f>
        <v>—</v>
      </c>
      <c r="J48" s="46" t="str">
        <f aca="false">IF(COUNTIFS('Données - Équipes'!$G$5:$G$87,"Antenne Nord-Ouest",'Données - Équipes'!$I$5:$I$87,3,'Données - Équipes'!$C$5:$C$87,"Technicien 1",'Données - Équipes'!$F$5:$F$87,"OK")&gt;0,"OK","—")</f>
        <v>OK</v>
      </c>
      <c r="K48" s="46" t="str">
        <f aca="false">IF(COUNTIFS('Données - Équipes'!$G$5:$G$87,"Antenne Nord-Ouest",'Données - Équipes'!$I$5:$I$87,3,'Données - Équipes'!$C$5:$C$87,"Technicien 2",'Données - Équipes'!$F$5:$F$87,"OK")&gt;0,"OK","—")</f>
        <v>OK</v>
      </c>
      <c r="L48" s="46" t="str">
        <f aca="false">IF(COUNTIFS('Données - Équipes'!$G$5:$G$87,"Antenne Nord-Ouest",'Données - Équipes'!$I$5:$I$87,3,'Données - Équipes'!$C$5:$C$87,"Chauffeur",'Données - Équipes'!$F$5:$F$87,"OK")&gt;0,"OK","—")</f>
        <v>—</v>
      </c>
      <c r="M48" s="46" t="str">
        <f aca="false">IF(COUNTIF(I48:L48,"OK")=4,"Complète",IF(COUNTIF(I48:L48,"OK")=0,"Critique","Partielle"))</f>
        <v>Partielle</v>
      </c>
    </row>
    <row r="49" customFormat="false" ht="15" hidden="false" customHeight="true" outlineLevel="0" collapsed="false">
      <c r="H49" s="45" t="s">
        <v>82</v>
      </c>
      <c r="I49" s="46" t="str">
        <f aca="false">IF(COUNTIFS('Données - Équipes'!$G$5:$G$87,"Antenne Adamaoua",'Données - Équipes'!$I$5:$I$87,1,'Données - Équipes'!$C$5:$C$87,"Ingénieur",'Données - Équipes'!$F$5:$F$87,"OK")&gt;0,"OK","—")</f>
        <v>OK</v>
      </c>
      <c r="J49" s="46" t="str">
        <f aca="false">IF(COUNTIFS('Données - Équipes'!$G$5:$G$87,"Antenne Adamaoua",'Données - Équipes'!$I$5:$I$87,1,'Données - Équipes'!$C$5:$C$87,"Technicien 1",'Données - Équipes'!$F$5:$F$87,"OK")&gt;0,"OK","—")</f>
        <v>OK</v>
      </c>
      <c r="K49" s="46" t="str">
        <f aca="false">IF(COUNTIFS('Données - Équipes'!$G$5:$G$87,"Antenne Adamaoua",'Données - Équipes'!$I$5:$I$87,1,'Données - Équipes'!$C$5:$C$87,"Technicien 2",'Données - Équipes'!$F$5:$F$87,"OK")&gt;0,"OK","—")</f>
        <v>—</v>
      </c>
      <c r="L49" s="46" t="str">
        <f aca="false">IF(COUNTIFS('Données - Équipes'!$G$5:$G$87,"Antenne Adamaoua",'Données - Équipes'!$I$5:$I$87,1,'Données - Équipes'!$C$5:$C$87,"Chauffeur",'Données - Équipes'!$F$5:$F$87,"OK")&gt;0,"OK","—")</f>
        <v>OK</v>
      </c>
      <c r="M49" s="46" t="str">
        <f aca="false">IF(COUNTIF(I49:L49,"OK")=4,"Complète",IF(COUNTIF(I49:L49,"OK")=0,"Critique","Partielle"))</f>
        <v>Partielle</v>
      </c>
    </row>
    <row r="50" customFormat="false" ht="15" hidden="false" customHeight="true" outlineLevel="0" collapsed="false">
      <c r="H50" s="48" t="s">
        <v>83</v>
      </c>
      <c r="I50" s="46" t="str">
        <f aca="false">IF(COUNTIFS('Données - Équipes'!$G$5:$G$87,"Antenne Est",'Données - Équipes'!$I$5:$I$87,1,'Données - Équipes'!$C$5:$C$87,"Ingénieur",'Données - Équipes'!$F$5:$F$87,"OK")&gt;0,"OK","—")</f>
        <v>—</v>
      </c>
      <c r="J50" s="46" t="str">
        <f aca="false">IF(COUNTIFS('Données - Équipes'!$G$5:$G$87,"Antenne Est",'Données - Équipes'!$I$5:$I$87,1,'Données - Équipes'!$C$5:$C$87,"Technicien 1",'Données - Équipes'!$F$5:$F$87,"OK")&gt;0,"OK","—")</f>
        <v>OK</v>
      </c>
      <c r="K50" s="46" t="str">
        <f aca="false">IF(COUNTIFS('Données - Équipes'!$G$5:$G$87,"Antenne Est",'Données - Équipes'!$I$5:$I$87,1,'Données - Équipes'!$C$5:$C$87,"Technicien 2",'Données - Équipes'!$F$5:$F$87,"OK")&gt;0,"OK","—")</f>
        <v>OK</v>
      </c>
      <c r="L50" s="46" t="str">
        <f aca="false">IF(COUNTIFS('Données - Équipes'!$G$5:$G$87,"Antenne Est",'Données - Équipes'!$I$5:$I$87,1,'Données - Équipes'!$C$5:$C$87,"Chauffeur",'Données - Équipes'!$F$5:$F$87,"OK")&gt;0,"OK","—")</f>
        <v>OK</v>
      </c>
      <c r="M50" s="46" t="str">
        <f aca="false">IF(COUNTIF(I50:L50,"OK")=4,"Complète",IF(COUNTIF(I50:L50,"OK")=0,"Critique","Partielle"))</f>
        <v>Partielle</v>
      </c>
    </row>
    <row r="51" customFormat="false" ht="15" hidden="false" customHeight="true" outlineLevel="0" collapsed="false">
      <c r="H51" s="45" t="s">
        <v>84</v>
      </c>
      <c r="I51" s="46" t="str">
        <f aca="false">IF(COUNTIFS('Données - Équipes'!$G$5:$G$87,"Antenne Est",'Données - Équipes'!$I$5:$I$87,2,'Données - Équipes'!$C$5:$C$87,"Ingénieur",'Données - Équipes'!$F$5:$F$87,"OK")&gt;0,"OK","—")</f>
        <v>—</v>
      </c>
      <c r="J51" s="46" t="str">
        <f aca="false">IF(COUNTIFS('Données - Équipes'!$G$5:$G$87,"Antenne Est",'Données - Équipes'!$I$5:$I$87,2,'Données - Équipes'!$C$5:$C$87,"Technicien 1",'Données - Équipes'!$F$5:$F$87,"OK")&gt;0,"OK","—")</f>
        <v>OK</v>
      </c>
      <c r="K51" s="46" t="str">
        <f aca="false">IF(COUNTIFS('Données - Équipes'!$G$5:$G$87,"Antenne Est",'Données - Équipes'!$I$5:$I$87,2,'Données - Équipes'!$C$5:$C$87,"Technicien 2",'Données - Équipes'!$F$5:$F$87,"OK")&gt;0,"OK","—")</f>
        <v>OK</v>
      </c>
      <c r="L51" s="46" t="str">
        <f aca="false">IF(COUNTIFS('Données - Équipes'!$G$5:$G$87,"Antenne Est",'Données - Équipes'!$I$5:$I$87,2,'Données - Équipes'!$C$5:$C$87,"Chauffeur",'Données - Équipes'!$F$5:$F$87,"OK")&gt;0,"OK","—")</f>
        <v>OK</v>
      </c>
      <c r="M51" s="46" t="str">
        <f aca="false">IF(COUNTIF(I51:L51,"OK")=4,"Complète",IF(COUNTIF(I51:L51,"OK")=0,"Critique","Partielle"))</f>
        <v>Partielle</v>
      </c>
    </row>
    <row r="52" customFormat="false" ht="15" hidden="false" customHeight="true" outlineLevel="0" collapsed="false">
      <c r="H52" s="48" t="s">
        <v>85</v>
      </c>
      <c r="I52" s="46" t="str">
        <f aca="false">IF(COUNTIFS('Données - Équipes'!$G$5:$G$87,"Antenne Sud - Centre",'Données - Équipes'!$I$5:$I$87,1,'Données - Équipes'!$C$5:$C$87,"Ingénieur",'Données - Équipes'!$F$5:$F$87,"OK")&gt;0,"OK","—")</f>
        <v>OK</v>
      </c>
      <c r="J52" s="46" t="str">
        <f aca="false">IF(COUNTIFS('Données - Équipes'!$G$5:$G$87,"Antenne Sud - Centre",'Données - Équipes'!$I$5:$I$87,1,'Données - Équipes'!$C$5:$C$87,"Technicien 1",'Données - Équipes'!$F$5:$F$87,"OK")&gt;0,"OK","—")</f>
        <v>OK</v>
      </c>
      <c r="K52" s="46" t="str">
        <f aca="false">IF(COUNTIFS('Données - Équipes'!$G$5:$G$87,"Antenne Sud - Centre",'Données - Équipes'!$I$5:$I$87,1,'Données - Équipes'!$C$5:$C$87,"Technicien 2",'Données - Équipes'!$F$5:$F$87,"OK")&gt;0,"OK","—")</f>
        <v>OK</v>
      </c>
      <c r="L52" s="46" t="str">
        <f aca="false">IF(COUNTIFS('Données - Équipes'!$G$5:$G$87,"Antenne Sud - Centre",'Données - Équipes'!$I$5:$I$87,1,'Données - Équipes'!$C$5:$C$87,"Chauffeur",'Données - Équipes'!$F$5:$F$87,"OK")&gt;0,"OK","—")</f>
        <v>OK</v>
      </c>
      <c r="M52" s="46" t="str">
        <f aca="false">IF(COUNTIF(I52:L52,"OK")=4,"Complète",IF(COUNTIF(I52:L52,"OK")=0,"Critique","Partielle"))</f>
        <v>Complète</v>
      </c>
    </row>
    <row r="53" customFormat="false" ht="15" hidden="false" customHeight="true" outlineLevel="0" collapsed="false">
      <c r="H53" s="45" t="s">
        <v>86</v>
      </c>
      <c r="I53" s="46" t="str">
        <f aca="false">IF(COUNTIFS('Données - Équipes'!$G$5:$G$87,"Antenne Sud - Centre",'Données - Équipes'!$I$5:$I$87,2,'Données - Équipes'!$C$5:$C$87,"Ingénieur",'Données - Équipes'!$F$5:$F$87,"OK")&gt;0,"OK","—")</f>
        <v>—</v>
      </c>
      <c r="J53" s="46" t="str">
        <f aca="false">IF(COUNTIFS('Données - Équipes'!$G$5:$G$87,"Antenne Sud - Centre",'Données - Équipes'!$I$5:$I$87,2,'Données - Équipes'!$C$5:$C$87,"Technicien 1",'Données - Équipes'!$F$5:$F$87,"OK")&gt;0,"OK","—")</f>
        <v>OK</v>
      </c>
      <c r="K53" s="46" t="str">
        <f aca="false">IF(COUNTIFS('Données - Équipes'!$G$5:$G$87,"Antenne Sud - Centre",'Données - Équipes'!$I$5:$I$87,2,'Données - Équipes'!$C$5:$C$87,"Technicien 2",'Données - Équipes'!$F$5:$F$87,"OK")&gt;0,"OK","—")</f>
        <v>OK</v>
      </c>
      <c r="L53" s="46" t="str">
        <f aca="false">IF(COUNTIFS('Données - Équipes'!$G$5:$G$87,"Antenne Sud - Centre",'Données - Équipes'!$I$5:$I$87,2,'Données - Équipes'!$C$5:$C$87,"Chauffeur",'Données - Équipes'!$F$5:$F$87,"OK")&gt;0,"OK","—")</f>
        <v>—</v>
      </c>
      <c r="M53" s="46" t="str">
        <f aca="false">IF(COUNTIF(I53:L53,"OK")=4,"Complète",IF(COUNTIF(I53:L53,"OK")=0,"Critique","Partielle"))</f>
        <v>Partielle</v>
      </c>
    </row>
    <row r="54" customFormat="false" ht="15" hidden="false" customHeight="true" outlineLevel="0" collapsed="false">
      <c r="H54" s="48" t="s">
        <v>87</v>
      </c>
      <c r="I54" s="46" t="str">
        <f aca="false">IF(COUNTIFS('Données - Équipes'!$G$5:$G$87,"Antenne Sud-Ouest",'Données - Équipes'!$I$5:$I$87,1,'Données - Équipes'!$C$5:$C$87,"Ingénieur",'Données - Équipes'!$F$5:$F$87,"OK")&gt;0,"OK","—")</f>
        <v>—</v>
      </c>
      <c r="J54" s="46" t="str">
        <f aca="false">IF(COUNTIFS('Données - Équipes'!$G$5:$G$87,"Antenne Sud-Ouest",'Données - Équipes'!$I$5:$I$87,1,'Données - Équipes'!$C$5:$C$87,"Technicien 1",'Données - Équipes'!$F$5:$F$87,"OK")&gt;0,"OK","—")</f>
        <v>OK</v>
      </c>
      <c r="K54" s="46" t="str">
        <f aca="false">IF(COUNTIFS('Données - Équipes'!$G$5:$G$87,"Antenne Sud-Ouest",'Données - Équipes'!$I$5:$I$87,1,'Données - Équipes'!$C$5:$C$87,"Technicien 2",'Données - Équipes'!$F$5:$F$87,"OK")&gt;0,"OK","—")</f>
        <v>OK</v>
      </c>
      <c r="L54" s="46" t="str">
        <f aca="false">IF(COUNTIFS('Données - Équipes'!$G$5:$G$87,"Antenne Sud-Ouest",'Données - Équipes'!$I$5:$I$87,1,'Données - Équipes'!$C$5:$C$87,"Chauffeur",'Données - Équipes'!$F$5:$F$87,"OK")&gt;0,"OK","—")</f>
        <v>OK</v>
      </c>
      <c r="M54" s="46" t="str">
        <f aca="false">IF(COUNTIF(I54:L54,"OK")=4,"Complète",IF(COUNTIF(I54:L54,"OK")=0,"Critique","Partielle"))</f>
        <v>Partielle</v>
      </c>
    </row>
    <row r="55" customFormat="false" ht="15" hidden="false" customHeight="true" outlineLevel="0" collapsed="false">
      <c r="H55" s="45" t="s">
        <v>88</v>
      </c>
      <c r="I55" s="46" t="str">
        <f aca="false">IF(COUNTIFS('Données - Équipes'!$G$5:$G$87,"Annexe Sud-Ouest NKONSAMBA",'Données - Équipes'!$I$5:$I$87,1,'Données - Équipes'!$C$5:$C$87,"Ingénieur",'Données - Équipes'!$F$5:$F$87,"OK")&gt;0,"OK","—")</f>
        <v>—</v>
      </c>
      <c r="J55" s="46" t="str">
        <f aca="false">IF(COUNTIFS('Données - Équipes'!$G$5:$G$87,"Annexe Sud-Ouest NKONSAMBA",'Données - Équipes'!$I$5:$I$87,1,'Données - Équipes'!$C$5:$C$87,"Technicien 1",'Données - Équipes'!$F$5:$F$87,"OK")&gt;0,"OK","—")</f>
        <v>OK</v>
      </c>
      <c r="K55" s="46" t="str">
        <f aca="false">IF(COUNTIFS('Données - Équipes'!$G$5:$G$87,"Annexe Sud-Ouest NKONSAMBA",'Données - Équipes'!$I$5:$I$87,1,'Données - Équipes'!$C$5:$C$87,"Technicien 2",'Données - Équipes'!$F$5:$F$87,"OK")&gt;0,"OK","—")</f>
        <v>OK</v>
      </c>
      <c r="L55" s="46" t="str">
        <f aca="false">IF(COUNTIFS('Données - Équipes'!$G$5:$G$87,"Annexe Sud-Ouest NKONSAMBA",'Données - Équipes'!$I$5:$I$87,1,'Données - Équipes'!$C$5:$C$87,"Chauffeur",'Données - Équipes'!$F$5:$F$87,"OK")&gt;0,"OK","—")</f>
        <v>OK</v>
      </c>
      <c r="M55" s="46" t="str">
        <f aca="false">IF(COUNTIF(I55:L55,"OK")=4,"Complète",IF(COUNTIF(I55:L55,"OK")=0,"Critique","Partielle"))</f>
        <v>Partielle</v>
      </c>
    </row>
    <row r="56" customFormat="false" ht="15" hidden="false" customHeight="true" outlineLevel="0" collapsed="false">
      <c r="H56" s="48" t="s">
        <v>89</v>
      </c>
      <c r="I56" s="46" t="str">
        <f aca="false">IF(COUNTIFS('Données - Équipes'!$G$5:$G$87,"Annexe Sud-Ouest NKONSAMBA",'Données - Équipes'!$I$5:$I$87,2,'Données - Équipes'!$C$5:$C$87,"Ingénieur",'Données - Équipes'!$F$5:$F$87,"OK")&gt;0,"OK","—")</f>
        <v>—</v>
      </c>
      <c r="J56" s="46" t="str">
        <f aca="false">IF(COUNTIFS('Données - Équipes'!$G$5:$G$87,"Annexe Sud-Ouest NKONSAMBA",'Données - Équipes'!$I$5:$I$87,2,'Données - Équipes'!$C$5:$C$87,"Technicien 1",'Données - Équipes'!$F$5:$F$87,"OK")&gt;0,"OK","—")</f>
        <v>OK</v>
      </c>
      <c r="K56" s="46" t="str">
        <f aca="false">IF(COUNTIFS('Données - Équipes'!$G$5:$G$87,"Annexe Sud-Ouest NKONSAMBA",'Données - Équipes'!$I$5:$I$87,2,'Données - Équipes'!$C$5:$C$87,"Technicien 2",'Données - Équipes'!$F$5:$F$87,"OK")&gt;0,"OK","—")</f>
        <v>OK</v>
      </c>
      <c r="L56" s="46" t="str">
        <f aca="false">IF(COUNTIFS('Données - Équipes'!$G$5:$G$87,"Annexe Sud-Ouest NKONSAMBA",'Données - Équipes'!$I$5:$I$87,2,'Données - Équipes'!$C$5:$C$87,"Chauffeur",'Données - Équipes'!$F$5:$F$87,"OK")&gt;0,"OK","—")</f>
        <v>OK</v>
      </c>
      <c r="M56" s="46" t="str">
        <f aca="false">IF(COUNTIF(I56:L56,"OK")=4,"Complète",IF(COUNTIF(I56:L56,"OK")=0,"Critique","Partielle"))</f>
        <v>Partielle</v>
      </c>
    </row>
    <row r="57" customFormat="false" ht="15" hidden="false" customHeight="true" outlineLevel="0" collapsed="false">
      <c r="H57" s="45" t="s">
        <v>90</v>
      </c>
      <c r="I57" s="46" t="str">
        <f aca="false">IF(COUNTIFS('Données - Équipes'!$G$5:$G$87,"Siege Yaoundé",'Données - Équipes'!$I$5:$I$87,1,'Données - Équipes'!$C$5:$C$87,"Ingénieur",'Données - Équipes'!$F$5:$F$87,"OK")&gt;0,"OK","—")</f>
        <v>OK</v>
      </c>
      <c r="J57" s="46" t="str">
        <f aca="false">IF(COUNTIFS('Données - Équipes'!$G$5:$G$87,"Siege Yaoundé",'Données - Équipes'!$I$5:$I$87,1,'Données - Équipes'!$C$5:$C$87,"Technicien 1",'Données - Équipes'!$F$5:$F$87,"OK")&gt;0,"OK","—")</f>
        <v>OK</v>
      </c>
      <c r="K57" s="46" t="str">
        <f aca="false">IF(COUNTIFS('Données - Équipes'!$G$5:$G$87,"Siege Yaoundé",'Données - Équipes'!$I$5:$I$87,1,'Données - Équipes'!$C$5:$C$87,"Technicien 2",'Données - Équipes'!$F$5:$F$87,"OK")&gt;0,"OK","—")</f>
        <v>—</v>
      </c>
      <c r="L57" s="46" t="str">
        <f aca="false">IF(COUNTIFS('Données - Équipes'!$G$5:$G$87,"Siege Yaoundé",'Données - Équipes'!$I$5:$I$87,1,'Données - Équipes'!$C$5:$C$87,"Chauffeur",'Données - Équipes'!$F$5:$F$87,"OK")&gt;0,"OK","—")</f>
        <v>OK</v>
      </c>
      <c r="M57" s="46" t="str">
        <f aca="false">IF(COUNTIF(I57:L57,"OK")=4,"Complète",IF(COUNTIF(I57:L57,"OK")=0,"Critique","Partielle"))</f>
        <v>Partielle</v>
      </c>
    </row>
    <row r="58" customFormat="false" ht="15" hidden="false" customHeight="true" outlineLevel="0" collapsed="false">
      <c r="H58" s="48" t="s">
        <v>91</v>
      </c>
      <c r="I58" s="46" t="str">
        <f aca="false">IF(COUNTIFS('Données - Équipes'!$G$5:$G$87,"Siege Yaoundé",'Données - Équipes'!$I$5:$I$87,2,'Données - Équipes'!$C$5:$C$87,"Ingénieur",'Données - Équipes'!$F$5:$F$87,"OK")&gt;0,"OK","—")</f>
        <v>OK</v>
      </c>
      <c r="J58" s="46" t="str">
        <f aca="false">IF(COUNTIFS('Données - Équipes'!$G$5:$G$87,"Siege Yaoundé",'Données - Équipes'!$I$5:$I$87,2,'Données - Équipes'!$C$5:$C$87,"Technicien 1",'Données - Équipes'!$F$5:$F$87,"OK")&gt;0,"OK","—")</f>
        <v>OK</v>
      </c>
      <c r="K58" s="46" t="str">
        <f aca="false">IF(COUNTIFS('Données - Équipes'!$G$5:$G$87,"Siege Yaoundé",'Données - Équipes'!$I$5:$I$87,2,'Données - Équipes'!$C$5:$C$87,"Technicien 2",'Données - Équipes'!$F$5:$F$87,"OK")&gt;0,"OK","—")</f>
        <v>OK</v>
      </c>
      <c r="L58" s="46" t="str">
        <f aca="false">IF(COUNTIFS('Données - Équipes'!$G$5:$G$87,"Siege Yaoundé",'Données - Équipes'!$I$5:$I$87,2,'Données - Équipes'!$C$5:$C$87,"Chauffeur",'Données - Équipes'!$F$5:$F$87,"OK")&gt;0,"OK","—")</f>
        <v>OK</v>
      </c>
      <c r="M58" s="46" t="str">
        <f aca="false">IF(COUNTIF(I58:L58,"OK")=4,"Complète",IF(COUNTIF(I58:L58,"OK")=0,"Critique","Partielle"))</f>
        <v>Complète</v>
      </c>
    </row>
    <row r="61" customFormat="false" ht="21.75" hidden="false" customHeight="true" outlineLevel="0" collapsed="false">
      <c r="A61" s="42" t="s">
        <v>92</v>
      </c>
      <c r="B61" s="42"/>
      <c r="C61" s="42"/>
      <c r="D61" s="42"/>
      <c r="E61" s="42"/>
      <c r="F61" s="42"/>
      <c r="G61" s="42"/>
      <c r="H61" s="42"/>
      <c r="I61" s="42"/>
      <c r="J61" s="42"/>
      <c r="K61" s="42"/>
      <c r="L61" s="42"/>
      <c r="M61" s="42"/>
      <c r="N61" s="42"/>
    </row>
    <row r="63" customFormat="false" ht="24" hidden="false" customHeight="true" outlineLevel="0" collapsed="false">
      <c r="A63" s="43" t="s">
        <v>93</v>
      </c>
      <c r="B63" s="43" t="s">
        <v>68</v>
      </c>
      <c r="C63" s="43" t="s">
        <v>94</v>
      </c>
      <c r="D63" s="43" t="s">
        <v>95</v>
      </c>
      <c r="E63" s="43" t="s">
        <v>96</v>
      </c>
      <c r="F63" s="43"/>
      <c r="G63" s="43"/>
      <c r="H63" s="43"/>
      <c r="I63" s="43"/>
      <c r="J63" s="43"/>
      <c r="K63" s="43"/>
      <c r="L63" s="43"/>
      <c r="M63" s="43"/>
      <c r="N63" s="43"/>
    </row>
    <row r="64" customFormat="false" ht="27.75" hidden="false" customHeight="true" outlineLevel="0" collapsed="false">
      <c r="A64" s="34" t="n">
        <v>1</v>
      </c>
      <c r="B64" s="30" t="s">
        <v>76</v>
      </c>
      <c r="C64" s="50" t="n">
        <v>2</v>
      </c>
      <c r="D64" s="51" t="s">
        <v>97</v>
      </c>
      <c r="E64" s="52" t="s">
        <v>98</v>
      </c>
      <c r="F64" s="52"/>
      <c r="G64" s="52"/>
      <c r="H64" s="52"/>
      <c r="I64" s="52"/>
      <c r="J64" s="52"/>
      <c r="K64" s="52"/>
      <c r="L64" s="52"/>
      <c r="M64" s="52"/>
      <c r="N64" s="52"/>
    </row>
    <row r="65" customFormat="false" ht="27.75" hidden="false" customHeight="true" outlineLevel="0" collapsed="false">
      <c r="A65" s="39" t="n">
        <v>2</v>
      </c>
      <c r="B65" s="35" t="s">
        <v>80</v>
      </c>
      <c r="C65" s="53" t="n">
        <v>2</v>
      </c>
      <c r="D65" s="54" t="s">
        <v>99</v>
      </c>
      <c r="E65" s="55" t="s">
        <v>100</v>
      </c>
      <c r="F65" s="55"/>
      <c r="G65" s="55"/>
      <c r="H65" s="55"/>
      <c r="I65" s="55"/>
      <c r="J65" s="55"/>
      <c r="K65" s="55"/>
      <c r="L65" s="55"/>
      <c r="M65" s="55"/>
      <c r="N65" s="55"/>
    </row>
    <row r="66" customFormat="false" ht="27.75" hidden="false" customHeight="true" outlineLevel="0" collapsed="false">
      <c r="A66" s="34" t="n">
        <v>3</v>
      </c>
      <c r="B66" s="30" t="s">
        <v>81</v>
      </c>
      <c r="C66" s="50" t="n">
        <v>2</v>
      </c>
      <c r="D66" s="51" t="s">
        <v>99</v>
      </c>
      <c r="E66" s="52" t="s">
        <v>100</v>
      </c>
      <c r="F66" s="52"/>
      <c r="G66" s="52"/>
      <c r="H66" s="52"/>
      <c r="I66" s="52"/>
      <c r="J66" s="52"/>
      <c r="K66" s="52"/>
      <c r="L66" s="52"/>
      <c r="M66" s="52"/>
      <c r="N66" s="52"/>
    </row>
    <row r="67" customFormat="false" ht="27.75" hidden="false" customHeight="true" outlineLevel="0" collapsed="false">
      <c r="A67" s="39" t="n">
        <v>4</v>
      </c>
      <c r="B67" s="35" t="s">
        <v>86</v>
      </c>
      <c r="C67" s="53" t="n">
        <v>2</v>
      </c>
      <c r="D67" s="54" t="s">
        <v>99</v>
      </c>
      <c r="E67" s="55" t="s">
        <v>100</v>
      </c>
      <c r="F67" s="55"/>
      <c r="G67" s="55"/>
      <c r="H67" s="55"/>
      <c r="I67" s="55"/>
      <c r="J67" s="55"/>
      <c r="K67" s="55"/>
      <c r="L67" s="55"/>
      <c r="M67" s="55"/>
      <c r="N67" s="55"/>
    </row>
    <row r="68" customFormat="false" ht="27.75" hidden="false" customHeight="true" outlineLevel="0" collapsed="false">
      <c r="A68" s="34" t="n">
        <v>5</v>
      </c>
      <c r="B68" s="30" t="s">
        <v>74</v>
      </c>
      <c r="C68" s="50" t="n">
        <v>1</v>
      </c>
      <c r="D68" s="51" t="s">
        <v>69</v>
      </c>
      <c r="E68" s="52" t="s">
        <v>101</v>
      </c>
      <c r="F68" s="52"/>
      <c r="G68" s="52"/>
      <c r="H68" s="52"/>
      <c r="I68" s="52"/>
      <c r="J68" s="52"/>
      <c r="K68" s="52"/>
      <c r="L68" s="52"/>
      <c r="M68" s="52"/>
      <c r="N68" s="52"/>
    </row>
    <row r="69" customFormat="false" ht="27.75" hidden="false" customHeight="true" outlineLevel="0" collapsed="false">
      <c r="A69" s="39" t="n">
        <v>6</v>
      </c>
      <c r="B69" s="35" t="s">
        <v>77</v>
      </c>
      <c r="C69" s="53" t="n">
        <v>1</v>
      </c>
      <c r="D69" s="54" t="s">
        <v>69</v>
      </c>
      <c r="E69" s="55" t="s">
        <v>101</v>
      </c>
      <c r="F69" s="55"/>
      <c r="G69" s="55"/>
      <c r="H69" s="55"/>
      <c r="I69" s="55"/>
      <c r="J69" s="55"/>
      <c r="K69" s="55"/>
      <c r="L69" s="55"/>
      <c r="M69" s="55"/>
      <c r="N69" s="55"/>
    </row>
    <row r="70" customFormat="false" ht="27.75" hidden="false" customHeight="true" outlineLevel="0" collapsed="false">
      <c r="A70" s="34" t="n">
        <v>7</v>
      </c>
      <c r="B70" s="30" t="s">
        <v>82</v>
      </c>
      <c r="C70" s="50" t="n">
        <v>1</v>
      </c>
      <c r="D70" s="51" t="s">
        <v>75</v>
      </c>
      <c r="E70" s="52" t="s">
        <v>102</v>
      </c>
      <c r="F70" s="52"/>
      <c r="G70" s="52"/>
      <c r="H70" s="52"/>
      <c r="I70" s="52"/>
      <c r="J70" s="52"/>
      <c r="K70" s="52"/>
      <c r="L70" s="52"/>
      <c r="M70" s="52"/>
      <c r="N70" s="52"/>
    </row>
    <row r="71" customFormat="false" ht="27.75" hidden="false" customHeight="true" outlineLevel="0" collapsed="false">
      <c r="A71" s="39" t="n">
        <v>8</v>
      </c>
      <c r="B71" s="35" t="s">
        <v>83</v>
      </c>
      <c r="C71" s="53" t="n">
        <v>1</v>
      </c>
      <c r="D71" s="54" t="s">
        <v>69</v>
      </c>
      <c r="E71" s="55" t="s">
        <v>101</v>
      </c>
      <c r="F71" s="55"/>
      <c r="G71" s="55"/>
      <c r="H71" s="55"/>
      <c r="I71" s="55"/>
      <c r="J71" s="55"/>
      <c r="K71" s="55"/>
      <c r="L71" s="55"/>
      <c r="M71" s="55"/>
      <c r="N71" s="55"/>
    </row>
    <row r="72" customFormat="false" ht="27.75" hidden="false" customHeight="true" outlineLevel="0" collapsed="false">
      <c r="A72" s="34" t="n">
        <v>9</v>
      </c>
      <c r="B72" s="30" t="s">
        <v>84</v>
      </c>
      <c r="C72" s="50" t="n">
        <v>1</v>
      </c>
      <c r="D72" s="51" t="s">
        <v>69</v>
      </c>
      <c r="E72" s="52" t="s">
        <v>101</v>
      </c>
      <c r="F72" s="52"/>
      <c r="G72" s="52"/>
      <c r="H72" s="52"/>
      <c r="I72" s="52"/>
      <c r="J72" s="52"/>
      <c r="K72" s="52"/>
      <c r="L72" s="52"/>
      <c r="M72" s="52"/>
      <c r="N72" s="52"/>
    </row>
    <row r="73" customFormat="false" ht="27.75" hidden="false" customHeight="true" outlineLevel="0" collapsed="false">
      <c r="A73" s="39" t="n">
        <v>10</v>
      </c>
      <c r="B73" s="35" t="s">
        <v>87</v>
      </c>
      <c r="C73" s="53" t="n">
        <v>1</v>
      </c>
      <c r="D73" s="54" t="s">
        <v>69</v>
      </c>
      <c r="E73" s="55" t="s">
        <v>101</v>
      </c>
      <c r="F73" s="55"/>
      <c r="G73" s="55"/>
      <c r="H73" s="55"/>
      <c r="I73" s="55"/>
      <c r="J73" s="55"/>
      <c r="K73" s="55"/>
      <c r="L73" s="55"/>
      <c r="M73" s="55"/>
      <c r="N73" s="55"/>
    </row>
    <row r="74" customFormat="false" ht="27.75" hidden="false" customHeight="true" outlineLevel="0" collapsed="false">
      <c r="A74" s="34" t="n">
        <v>11</v>
      </c>
      <c r="B74" s="30" t="s">
        <v>88</v>
      </c>
      <c r="C74" s="50" t="n">
        <v>1</v>
      </c>
      <c r="D74" s="51" t="s">
        <v>69</v>
      </c>
      <c r="E74" s="52" t="s">
        <v>101</v>
      </c>
      <c r="F74" s="52"/>
      <c r="G74" s="52"/>
      <c r="H74" s="52"/>
      <c r="I74" s="52"/>
      <c r="J74" s="52"/>
      <c r="K74" s="52"/>
      <c r="L74" s="52"/>
      <c r="M74" s="52"/>
      <c r="N74" s="52"/>
    </row>
    <row r="75" customFormat="false" ht="27.75" hidden="false" customHeight="true" outlineLevel="0" collapsed="false">
      <c r="A75" s="39" t="n">
        <v>12</v>
      </c>
      <c r="B75" s="35" t="s">
        <v>89</v>
      </c>
      <c r="C75" s="53" t="n">
        <v>1</v>
      </c>
      <c r="D75" s="54" t="s">
        <v>69</v>
      </c>
      <c r="E75" s="55" t="s">
        <v>101</v>
      </c>
      <c r="F75" s="55"/>
      <c r="G75" s="55"/>
      <c r="H75" s="55"/>
      <c r="I75" s="55"/>
      <c r="J75" s="55"/>
      <c r="K75" s="55"/>
      <c r="L75" s="55"/>
      <c r="M75" s="55"/>
      <c r="N75" s="55"/>
    </row>
    <row r="76" customFormat="false" ht="27.75" hidden="false" customHeight="true" outlineLevel="0" collapsed="false">
      <c r="A76" s="34" t="n">
        <v>13</v>
      </c>
      <c r="B76" s="30" t="s">
        <v>90</v>
      </c>
      <c r="C76" s="50" t="n">
        <v>1</v>
      </c>
      <c r="D76" s="51" t="s">
        <v>75</v>
      </c>
      <c r="E76" s="52" t="s">
        <v>102</v>
      </c>
      <c r="F76" s="52"/>
      <c r="G76" s="52"/>
      <c r="H76" s="52"/>
      <c r="I76" s="52"/>
      <c r="J76" s="52"/>
      <c r="K76" s="52"/>
      <c r="L76" s="52"/>
      <c r="M76" s="52"/>
      <c r="N76" s="52"/>
    </row>
    <row r="77" customFormat="false" ht="27.75" hidden="false" customHeight="true" outlineLevel="0" collapsed="false">
      <c r="A77" s="39" t="n">
        <v>14</v>
      </c>
      <c r="B77" s="35" t="s">
        <v>79</v>
      </c>
      <c r="C77" s="56" t="n">
        <v>0</v>
      </c>
      <c r="D77" s="54" t="s">
        <v>103</v>
      </c>
      <c r="E77" s="55" t="s">
        <v>104</v>
      </c>
      <c r="F77" s="55"/>
      <c r="G77" s="55"/>
      <c r="H77" s="55"/>
      <c r="I77" s="55"/>
      <c r="J77" s="55"/>
      <c r="K77" s="55"/>
      <c r="L77" s="55"/>
      <c r="M77" s="55"/>
      <c r="N77" s="55"/>
    </row>
    <row r="78" customFormat="false" ht="27.75" hidden="false" customHeight="true" outlineLevel="0" collapsed="false">
      <c r="A78" s="34" t="n">
        <v>15</v>
      </c>
      <c r="B78" s="30" t="s">
        <v>85</v>
      </c>
      <c r="C78" s="57" t="n">
        <v>0</v>
      </c>
      <c r="D78" s="51" t="s">
        <v>103</v>
      </c>
      <c r="E78" s="52" t="s">
        <v>104</v>
      </c>
      <c r="F78" s="52"/>
      <c r="G78" s="52"/>
      <c r="H78" s="52"/>
      <c r="I78" s="52"/>
      <c r="J78" s="52"/>
      <c r="K78" s="52"/>
      <c r="L78" s="52"/>
      <c r="M78" s="52"/>
      <c r="N78" s="52"/>
    </row>
    <row r="79" customFormat="false" ht="27.75" hidden="false" customHeight="true" outlineLevel="0" collapsed="false">
      <c r="A79" s="39" t="n">
        <v>16</v>
      </c>
      <c r="B79" s="35" t="s">
        <v>91</v>
      </c>
      <c r="C79" s="56" t="n">
        <v>0</v>
      </c>
      <c r="D79" s="54" t="s">
        <v>103</v>
      </c>
      <c r="E79" s="55" t="s">
        <v>104</v>
      </c>
      <c r="F79" s="55"/>
      <c r="G79" s="55"/>
      <c r="H79" s="55"/>
      <c r="I79" s="55"/>
      <c r="J79" s="55"/>
      <c r="K79" s="55"/>
      <c r="L79" s="55"/>
      <c r="M79" s="55"/>
      <c r="N79" s="55"/>
    </row>
    <row r="82" customFormat="false" ht="21.75" hidden="false" customHeight="true" outlineLevel="0" collapsed="false">
      <c r="A82" s="42" t="s">
        <v>105</v>
      </c>
      <c r="B82" s="42"/>
      <c r="C82" s="42"/>
      <c r="D82" s="42"/>
      <c r="E82" s="42"/>
      <c r="F82" s="42"/>
      <c r="G82" s="42"/>
      <c r="H82" s="42"/>
      <c r="I82" s="42"/>
      <c r="J82" s="42"/>
      <c r="K82" s="42"/>
      <c r="L82" s="42"/>
      <c r="M82" s="42"/>
      <c r="N82" s="42"/>
      <c r="Q82" s="58" t="s">
        <v>106</v>
      </c>
      <c r="R82" s="58" t="s">
        <v>107</v>
      </c>
    </row>
    <row r="83" customFormat="false" ht="15" hidden="false" customHeight="false" outlineLevel="0" collapsed="false">
      <c r="Q83" s="0" t="s">
        <v>108</v>
      </c>
      <c r="R83" s="0" t="n">
        <f aca="false">COUNTIF($M$43:$M$58,"Complète")</f>
        <v>3</v>
      </c>
    </row>
    <row r="84" customFormat="false" ht="15" hidden="false" customHeight="false" outlineLevel="0" collapsed="false">
      <c r="Q84" s="0" t="s">
        <v>109</v>
      </c>
      <c r="R84" s="0" t="n">
        <f aca="false">COUNTIF($M$43:$M$58,"Partielle")</f>
        <v>13</v>
      </c>
    </row>
    <row r="85" customFormat="false" ht="15" hidden="false" customHeight="false" outlineLevel="0" collapsed="false">
      <c r="Q85" s="0" t="s">
        <v>110</v>
      </c>
      <c r="R85" s="0" t="n">
        <f aca="false">COUNTIF($M$43:$M$58,"Critique")</f>
        <v>0</v>
      </c>
    </row>
    <row r="138" customFormat="false" ht="15" hidden="false" customHeight="true" outlineLevel="0" collapsed="false">
      <c r="A138" s="59" t="s">
        <v>111</v>
      </c>
      <c r="B138" s="59"/>
      <c r="C138" s="59"/>
      <c r="D138" s="59"/>
      <c r="E138" s="59"/>
      <c r="F138" s="59"/>
      <c r="G138" s="59"/>
      <c r="H138" s="59"/>
      <c r="I138" s="59"/>
      <c r="J138" s="59"/>
      <c r="K138" s="59"/>
      <c r="L138" s="59"/>
      <c r="M138" s="59"/>
      <c r="N138" s="59"/>
    </row>
    <row r="139" customFormat="false" ht="15" hidden="false" customHeight="true" outlineLevel="0" collapsed="false">
      <c r="A139" s="59"/>
      <c r="B139" s="59"/>
      <c r="C139" s="59"/>
      <c r="D139" s="59"/>
      <c r="E139" s="59"/>
      <c r="F139" s="59"/>
      <c r="G139" s="59"/>
      <c r="H139" s="59"/>
      <c r="I139" s="59"/>
      <c r="J139" s="59"/>
      <c r="K139" s="59"/>
      <c r="L139" s="59"/>
      <c r="M139" s="59"/>
      <c r="N139" s="59"/>
    </row>
    <row r="140" customFormat="false" ht="15" hidden="false" customHeight="true" outlineLevel="0" collapsed="false">
      <c r="A140" s="59"/>
      <c r="B140" s="59"/>
      <c r="C140" s="59"/>
      <c r="D140" s="59"/>
      <c r="E140" s="59"/>
      <c r="F140" s="59"/>
      <c r="G140" s="59"/>
      <c r="H140" s="59"/>
      <c r="I140" s="59"/>
      <c r="J140" s="59"/>
      <c r="K140" s="59"/>
      <c r="L140" s="59"/>
      <c r="M140" s="59"/>
      <c r="N140" s="59"/>
    </row>
  </sheetData>
  <mergeCells count="50">
    <mergeCell ref="A1:N2"/>
    <mergeCell ref="A3:N3"/>
    <mergeCell ref="A5:N5"/>
    <mergeCell ref="A6:C6"/>
    <mergeCell ref="D6:F6"/>
    <mergeCell ref="G6:I6"/>
    <mergeCell ref="J6:L6"/>
    <mergeCell ref="M6:N6"/>
    <mergeCell ref="A7:C7"/>
    <mergeCell ref="D7:F7"/>
    <mergeCell ref="G7:I7"/>
    <mergeCell ref="J7:L7"/>
    <mergeCell ref="M7:N7"/>
    <mergeCell ref="A9:N9"/>
    <mergeCell ref="A10:B10"/>
    <mergeCell ref="C10:E10"/>
    <mergeCell ref="F10:G10"/>
    <mergeCell ref="H10:I10"/>
    <mergeCell ref="J10:K10"/>
    <mergeCell ref="L10:N10"/>
    <mergeCell ref="A11:B11"/>
    <mergeCell ref="C11:E11"/>
    <mergeCell ref="F11:G11"/>
    <mergeCell ref="H11:I11"/>
    <mergeCell ref="J11:K11"/>
    <mergeCell ref="L11:N11"/>
    <mergeCell ref="A12:N12"/>
    <mergeCell ref="A26:N26"/>
    <mergeCell ref="A40:F40"/>
    <mergeCell ref="H40:N40"/>
    <mergeCell ref="A61:N61"/>
    <mergeCell ref="E63:N63"/>
    <mergeCell ref="E64:N64"/>
    <mergeCell ref="E65:N65"/>
    <mergeCell ref="E66:N66"/>
    <mergeCell ref="E67:N67"/>
    <mergeCell ref="E68:N68"/>
    <mergeCell ref="E69:N69"/>
    <mergeCell ref="E70:N70"/>
    <mergeCell ref="E71:N71"/>
    <mergeCell ref="E72:N72"/>
    <mergeCell ref="E73:N73"/>
    <mergeCell ref="E74:N74"/>
    <mergeCell ref="E75:N75"/>
    <mergeCell ref="E76:N76"/>
    <mergeCell ref="E77:N77"/>
    <mergeCell ref="E78:N78"/>
    <mergeCell ref="E79:N79"/>
    <mergeCell ref="A82:N82"/>
    <mergeCell ref="A138:N140"/>
  </mergeCells>
  <conditionalFormatting sqref="D15:D23">
    <cfRule type="dataBar" priority="2">
      <dataBar showValue="1" minLength="10" maxLength="90">
        <cfvo type="min" val="0"/>
        <cfvo type="max" val="0"/>
        <color rgb="FF2E5C99"/>
      </dataBar>
      <extLst>
        <ext xmlns:x14="http://schemas.microsoft.com/office/spreadsheetml/2009/9/main" uri="{B025F937-C7B1-47D3-B67F-A62EFF666E3E}">
          <x14:id>{58E86DCE-A66B-4B93-82A6-73A0F3F4D483}</x14:id>
        </ext>
      </extLst>
    </cfRule>
  </conditionalFormatting>
  <conditionalFormatting sqref="F29:F37">
    <cfRule type="dataBar" priority="3">
      <dataBar showValue="1" minLength="10" maxLength="90">
        <cfvo type="min" val="0"/>
        <cfvo type="max" val="0"/>
        <color rgb="FFC00000"/>
      </dataBar>
      <extLst>
        <ext xmlns:x14="http://schemas.microsoft.com/office/spreadsheetml/2009/9/main" uri="{B025F937-C7B1-47D3-B67F-A62EFF666E3E}">
          <x14:id>{D0705465-7784-447A-889D-7E593C69CC31}</x14:id>
        </ext>
      </extLst>
    </cfRule>
  </conditionalFormatting>
  <conditionalFormatting sqref="I43:L58">
    <cfRule type="cellIs" priority="4" operator="equal" aboveAverage="0" equalAverage="0" bottom="0" percent="0" rank="0" text="" dxfId="0">
      <formula>"OK"</formula>
    </cfRule>
    <cfRule type="cellIs" priority="5" operator="equal" aboveAverage="0" equalAverage="0" bottom="0" percent="0" rank="0" text="" dxfId="1">
      <formula>"—"</formula>
    </cfRule>
  </conditionalFormatting>
  <conditionalFormatting sqref="M43:M58">
    <cfRule type="cellIs" priority="6" operator="equal" aboveAverage="0" equalAverage="0" bottom="0" percent="0" rank="0" text="" dxfId="0">
      <formula>"Complète"</formula>
    </cfRule>
    <cfRule type="cellIs" priority="7" operator="equal" aboveAverage="0" equalAverage="0" bottom="0" percent="0" rank="0" text="" dxfId="2">
      <formula>"Partielle"</formula>
    </cfRule>
    <cfRule type="cellIs" priority="8" operator="equal" aboveAverage="0" equalAverage="0" bottom="0" percent="0" rank="0" text="" dxfId="1">
      <formula>"Critique"</formula>
    </cfRule>
  </conditionalFormatting>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58E86DCE-A66B-4B93-82A6-73A0F3F4D483}">
            <x14:dataBar minLength="10" maxLength="90" axisPosition="none" gradient="true">
              <x14:cfvo type="min"/>
              <x14:cfvo type="max"/>
              <x14:negativeFillColor rgb="FF2E5C99"/>
              <x14:axisColor rgb="FF000000"/>
            </x14:dataBar>
          </x14:cfRule>
          <xm:sqref>D15:D23</xm:sqref>
        </x14:conditionalFormatting>
        <x14:conditionalFormatting xmlns:xm="http://schemas.microsoft.com/office/excel/2006/main">
          <x14:cfRule type="dataBar" id="{D0705465-7784-447A-889D-7E593C69CC31}">
            <x14:dataBar minLength="10" maxLength="90" axisPosition="none" gradient="true">
              <x14:cfvo type="min"/>
              <x14:cfvo type="max"/>
              <x14:negativeFillColor rgb="FFC00000"/>
              <x14:axisColor rgb="FF000000"/>
            </x14:dataBar>
          </x14:cfRule>
          <xm:sqref>F29:F37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4B"/>
    <pageSetUpPr fitToPage="true"/>
  </sheetPr>
  <dimension ref="A1:A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33.75" hidden="false" customHeight="true" outlineLevel="0" collapsed="false">
      <c r="A1" s="60" t="s">
        <v>112</v>
      </c>
    </row>
    <row r="3" customFormat="false" ht="18" hidden="false" customHeight="true" outlineLevel="0" collapsed="false">
      <c r="A3" s="61" t="s">
        <v>113</v>
      </c>
    </row>
    <row r="5" customFormat="false" ht="15" hidden="false" customHeight="true" outlineLevel="0" collapsed="false">
      <c r="A5" s="62" t="s">
        <v>114</v>
      </c>
    </row>
    <row r="6" customFormat="false" ht="30" hidden="false" customHeight="true" outlineLevel="0" collapsed="false">
      <c r="A6" s="62" t="s">
        <v>115</v>
      </c>
    </row>
    <row r="7" customFormat="false" ht="30" hidden="false" customHeight="true" outlineLevel="0" collapsed="false">
      <c r="A7" s="62" t="s">
        <v>116</v>
      </c>
    </row>
    <row r="9" customFormat="false" ht="60" hidden="false" customHeight="true" outlineLevel="0" collapsed="false">
      <c r="A9" s="62" t="s">
        <v>117</v>
      </c>
    </row>
    <row r="11" customFormat="false" ht="75" hidden="false" customHeight="true" outlineLevel="0" collapsed="false">
      <c r="A11" s="62" t="s">
        <v>118</v>
      </c>
    </row>
    <row r="13" customFormat="false" ht="18" hidden="false" customHeight="true" outlineLevel="0" collapsed="false">
      <c r="A13" s="61" t="s">
        <v>119</v>
      </c>
    </row>
    <row r="15" customFormat="false" ht="30" hidden="false" customHeight="true" outlineLevel="0" collapsed="false">
      <c r="A15" s="62" t="s">
        <v>120</v>
      </c>
    </row>
    <row r="16" customFormat="false" ht="30" hidden="false" customHeight="true" outlineLevel="0" collapsed="false">
      <c r="A16" s="62" t="s">
        <v>121</v>
      </c>
    </row>
    <row r="17" customFormat="false" ht="45" hidden="false" customHeight="true" outlineLevel="0" collapsed="false">
      <c r="A17" s="62" t="s">
        <v>122</v>
      </c>
    </row>
    <row r="18" customFormat="false" ht="60" hidden="false" customHeight="true" outlineLevel="0" collapsed="false">
      <c r="A18" s="62" t="s">
        <v>123</v>
      </c>
    </row>
    <row r="19" customFormat="false" ht="30" hidden="false" customHeight="true" outlineLevel="0" collapsed="false">
      <c r="A19" s="62" t="s">
        <v>124</v>
      </c>
    </row>
    <row r="21" customFormat="false" ht="18" hidden="false" customHeight="true" outlineLevel="0" collapsed="false">
      <c r="A21" s="61" t="s">
        <v>125</v>
      </c>
    </row>
    <row r="23" customFormat="false" ht="120" hidden="false" customHeight="true" outlineLevel="0" collapsed="false">
      <c r="A23" s="62" t="s">
        <v>126</v>
      </c>
    </row>
    <row r="24" customFormat="false" ht="90" hidden="false" customHeight="true" outlineLevel="0" collapsed="false">
      <c r="A24" s="62" t="s">
        <v>127</v>
      </c>
    </row>
    <row r="25" customFormat="false" ht="45" hidden="false" customHeight="true" outlineLevel="0" collapsed="false">
      <c r="A25" s="62" t="s">
        <v>128</v>
      </c>
    </row>
    <row r="26" customFormat="false" ht="45" hidden="false" customHeight="true" outlineLevel="0" collapsed="false">
      <c r="A26" s="62" t="s">
        <v>129</v>
      </c>
    </row>
    <row r="27" customFormat="false" ht="60" hidden="false" customHeight="true" outlineLevel="0" collapsed="false">
      <c r="A27" s="62" t="s">
        <v>130</v>
      </c>
    </row>
    <row r="28" customFormat="false" ht="30" hidden="false" customHeight="true" outlineLevel="0" collapsed="false">
      <c r="A28" s="62" t="s">
        <v>131</v>
      </c>
    </row>
    <row r="29" customFormat="false" ht="30" hidden="false" customHeight="true" outlineLevel="0" collapsed="false">
      <c r="A29" s="62" t="s">
        <v>132</v>
      </c>
    </row>
    <row r="31" customFormat="false" ht="18" hidden="false" customHeight="true" outlineLevel="0" collapsed="false">
      <c r="A31" s="61" t="s">
        <v>133</v>
      </c>
    </row>
    <row r="33" customFormat="false" ht="75" hidden="false" customHeight="true" outlineLevel="0" collapsed="false">
      <c r="A33" s="62" t="s">
        <v>134</v>
      </c>
    </row>
    <row r="34" customFormat="false" ht="60" hidden="false" customHeight="true" outlineLevel="0" collapsed="false">
      <c r="A34" s="62" t="s">
        <v>135</v>
      </c>
    </row>
    <row r="35" customFormat="false" ht="75" hidden="false" customHeight="true" outlineLevel="0" collapsed="false">
      <c r="A35" s="62" t="s">
        <v>136</v>
      </c>
    </row>
    <row r="37" customFormat="false" ht="18" hidden="false" customHeight="true" outlineLevel="0" collapsed="false">
      <c r="A37" s="61" t="s">
        <v>137</v>
      </c>
    </row>
    <row r="39" customFormat="false" ht="60" hidden="false" customHeight="true" outlineLevel="0" collapsed="false">
      <c r="A39" s="62" t="s">
        <v>138</v>
      </c>
    </row>
    <row r="40" customFormat="false" ht="75" hidden="false" customHeight="true" outlineLevel="0" collapsed="false">
      <c r="A40" s="62" t="s">
        <v>139</v>
      </c>
    </row>
    <row r="41" customFormat="false" ht="30" hidden="false" customHeight="true" outlineLevel="0" collapsed="false">
      <c r="A41" s="62" t="s">
        <v>140</v>
      </c>
    </row>
    <row r="42" customFormat="false" ht="60" hidden="false" customHeight="true" outlineLevel="0" collapsed="false">
      <c r="A42" s="62" t="s">
        <v>141</v>
      </c>
    </row>
  </sheetData>
  <printOptions headings="false" gridLines="false" gridLinesSet="true" horizontalCentered="false" verticalCentered="false"/>
  <pageMargins left="0.4" right="0.4"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9"/>
    <pageSetUpPr fitToPage="true"/>
  </sheetPr>
  <dimension ref="A1:N27"/>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27" activeCellId="0" sqref="A27"/>
    </sheetView>
  </sheetViews>
  <sheetFormatPr defaultColWidth="8.71484375" defaultRowHeight="14.2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6"/>
    <col collapsed="false" customWidth="true" hidden="false" outlineLevel="0" max="4" min="4" style="0" width="40"/>
    <col collapsed="false" customWidth="true" hidden="false" outlineLevel="0" max="5" min="5" style="0" width="10"/>
    <col collapsed="false" customWidth="true" hidden="false" outlineLevel="0" max="6" min="6" style="0" width="14"/>
    <col collapsed="false" customWidth="true" hidden="false" outlineLevel="0" max="7" min="7" style="0" width="12"/>
    <col collapsed="false" customWidth="true" hidden="false" outlineLevel="0" max="9" min="8" style="0" width="15"/>
    <col collapsed="false" customWidth="true" hidden="false" outlineLevel="0" max="11" min="10" style="0" width="13"/>
    <col collapsed="false" customWidth="true" hidden="false" outlineLevel="0" max="12" min="12" style="0" width="12"/>
    <col collapsed="false" customWidth="true" hidden="false" outlineLevel="0" max="13" min="13" style="0" width="13"/>
    <col collapsed="false" customWidth="true" hidden="false" outlineLevel="0" max="16" min="16" style="0" width="24"/>
    <col collapsed="false" customWidth="true" hidden="false" outlineLevel="0" max="17" min="17" style="0" width="10"/>
  </cols>
  <sheetData>
    <row r="1" customFormat="false" ht="16.5" hidden="false" customHeight="true" outlineLevel="0" collapsed="false">
      <c r="A1" s="63" t="s">
        <v>142</v>
      </c>
      <c r="B1" s="63"/>
      <c r="C1" s="63"/>
      <c r="D1" s="63"/>
      <c r="E1" s="63"/>
      <c r="F1" s="63"/>
      <c r="G1" s="63"/>
      <c r="H1" s="63"/>
      <c r="I1" s="63"/>
      <c r="J1" s="63"/>
      <c r="K1" s="63"/>
      <c r="L1" s="63"/>
      <c r="N1" s="64" t="s">
        <v>143</v>
      </c>
    </row>
    <row r="2" customFormat="false" ht="14.25" hidden="false" customHeight="false" outlineLevel="0" collapsed="false">
      <c r="A2" s="65" t="s">
        <v>144</v>
      </c>
      <c r="B2" s="65"/>
      <c r="C2" s="65"/>
      <c r="D2" s="65"/>
      <c r="E2" s="65"/>
      <c r="F2" s="65"/>
      <c r="G2" s="65"/>
      <c r="H2" s="65"/>
      <c r="I2" s="65"/>
      <c r="J2" s="65"/>
      <c r="K2" s="65"/>
      <c r="L2" s="65"/>
      <c r="M2" s="66" t="s">
        <v>145</v>
      </c>
      <c r="N2" s="67" t="n">
        <v>25</v>
      </c>
    </row>
    <row r="3" customFormat="false" ht="14.25" hidden="false" customHeight="false" outlineLevel="0" collapsed="false">
      <c r="M3" s="66" t="s">
        <v>146</v>
      </c>
      <c r="N3" s="67" t="n">
        <v>30</v>
      </c>
    </row>
    <row r="4" customFormat="false" ht="38.25" hidden="false" customHeight="true" outlineLevel="0" collapsed="false">
      <c r="A4" s="68" t="s">
        <v>14</v>
      </c>
      <c r="B4" s="68" t="s">
        <v>15</v>
      </c>
      <c r="C4" s="68" t="s">
        <v>147</v>
      </c>
      <c r="D4" s="68" t="s">
        <v>16</v>
      </c>
      <c r="E4" s="68" t="s">
        <v>17</v>
      </c>
      <c r="F4" s="68" t="s">
        <v>148</v>
      </c>
      <c r="G4" s="68" t="s">
        <v>149</v>
      </c>
      <c r="H4" s="68" t="s">
        <v>150</v>
      </c>
      <c r="I4" s="68" t="s">
        <v>151</v>
      </c>
      <c r="J4" s="68" t="s">
        <v>152</v>
      </c>
      <c r="K4" s="68" t="s">
        <v>153</v>
      </c>
      <c r="L4" s="68" t="s">
        <v>154</v>
      </c>
      <c r="M4" s="68" t="s">
        <v>155</v>
      </c>
      <c r="N4" s="67" t="n">
        <v>2</v>
      </c>
    </row>
    <row r="5" customFormat="false" ht="14.25" hidden="false" customHeight="false" outlineLevel="0" collapsed="false">
      <c r="A5" s="69" t="s">
        <v>22</v>
      </c>
      <c r="B5" s="69" t="s">
        <v>23</v>
      </c>
      <c r="C5" s="69"/>
      <c r="D5" s="70" t="s">
        <v>24</v>
      </c>
      <c r="E5" s="71" t="n">
        <f aca="false">COUNTIF('Répartition par antenne'!$A$5:$A$503,$A5)</f>
        <v>79</v>
      </c>
      <c r="F5" s="72" t="n">
        <f aca="false">SUMIF('Répartition par antenne'!$A$5:$A$503,$A5,'Répartition par antenne'!$E$5:$E$503)</f>
        <v>5234.6</v>
      </c>
      <c r="G5" s="71" t="n">
        <f aca="false">$N$4</f>
        <v>2</v>
      </c>
      <c r="H5" s="71" t="n">
        <f aca="false">MAX(1,ROUNDUP(E5/$N$2,0))</f>
        <v>4</v>
      </c>
      <c r="I5" s="71" t="n">
        <f aca="false">MAX(1,ROUNDUP(E5/$N$3,0))</f>
        <v>3</v>
      </c>
      <c r="J5" s="73" t="n">
        <f aca="false">G5+H5+I5</f>
        <v>9</v>
      </c>
      <c r="K5" s="72" t="n">
        <f aca="false">IFERROR(E5/J5,0)</f>
        <v>8.77777777777778</v>
      </c>
      <c r="L5" s="74" t="n">
        <f aca="false">E5/499</f>
        <v>0.158316633266533</v>
      </c>
      <c r="M5" s="74" t="n">
        <f aca="false">F5/32821.6</f>
        <v>0.159486435761815</v>
      </c>
    </row>
    <row r="6" customFormat="false" ht="25.5" hidden="false" customHeight="true" outlineLevel="0" collapsed="false">
      <c r="A6" s="69" t="s">
        <v>25</v>
      </c>
      <c r="B6" s="69" t="s">
        <v>23</v>
      </c>
      <c r="C6" s="69"/>
      <c r="D6" s="70" t="s">
        <v>156</v>
      </c>
      <c r="E6" s="71" t="n">
        <f aca="false">COUNTIF('Répartition par antenne'!$A$5:$A$503,$A6)</f>
        <v>50</v>
      </c>
      <c r="F6" s="72" t="n">
        <f aca="false">SUMIF('Répartition par antenne'!$A$5:$A$503,$A6,'Répartition par antenne'!$E$5:$E$503)</f>
        <v>2677.6</v>
      </c>
      <c r="G6" s="71" t="n">
        <f aca="false">$N$4</f>
        <v>2</v>
      </c>
      <c r="H6" s="71" t="n">
        <f aca="false">MAX(1,ROUNDUP(E6/$N$2,0))</f>
        <v>2</v>
      </c>
      <c r="I6" s="71" t="n">
        <f aca="false">MAX(1,ROUNDUP(E6/$N$3,0))</f>
        <v>2</v>
      </c>
      <c r="J6" s="73" t="n">
        <f aca="false">G6+H6+I6</f>
        <v>6</v>
      </c>
      <c r="K6" s="72" t="n">
        <f aca="false">IFERROR(E6/J6,0)</f>
        <v>8.33333333333333</v>
      </c>
      <c r="L6" s="74" t="n">
        <f aca="false">E6/499</f>
        <v>0.100200400801603</v>
      </c>
      <c r="M6" s="74" t="n">
        <f aca="false">F6/32821.6</f>
        <v>0.0815804226484998</v>
      </c>
    </row>
    <row r="7" customFormat="false" ht="14.25" hidden="false" customHeight="false" outlineLevel="0" collapsed="false">
      <c r="A7" s="75" t="s">
        <v>27</v>
      </c>
      <c r="B7" s="75" t="s">
        <v>28</v>
      </c>
      <c r="C7" s="75" t="s">
        <v>25</v>
      </c>
      <c r="D7" s="76" t="s">
        <v>29</v>
      </c>
      <c r="E7" s="77" t="n">
        <f aca="false">COUNTIF('Répartition par antenne'!$A$5:$A$503,$A7)</f>
        <v>29</v>
      </c>
      <c r="F7" s="78" t="n">
        <f aca="false">SUMIF('Répartition par antenne'!$A$5:$A$503,$A7,'Répartition par antenne'!$E$5:$E$503)</f>
        <v>1433.6</v>
      </c>
      <c r="G7" s="77" t="n">
        <f aca="false">$N$4</f>
        <v>2</v>
      </c>
      <c r="H7" s="77" t="n">
        <f aca="false">MAX(1,ROUNDUP(E7/$N$2,0))</f>
        <v>2</v>
      </c>
      <c r="I7" s="77" t="n">
        <f aca="false">MAX(1,ROUNDUP(E7/$N$3,0))</f>
        <v>1</v>
      </c>
      <c r="J7" s="79" t="n">
        <f aca="false">G7+H7+I7</f>
        <v>5</v>
      </c>
      <c r="K7" s="78" t="n">
        <f aca="false">IFERROR(E7/J7,0)</f>
        <v>5.8</v>
      </c>
      <c r="L7" s="80" t="n">
        <f aca="false">E7/499</f>
        <v>0.0581162324649299</v>
      </c>
      <c r="M7" s="80" t="n">
        <f aca="false">F7/32821.6</f>
        <v>0.043678553147927</v>
      </c>
    </row>
    <row r="8" customFormat="false" ht="14.25" hidden="false" customHeight="false" outlineLevel="0" collapsed="false">
      <c r="A8" s="69" t="s">
        <v>30</v>
      </c>
      <c r="B8" s="69" t="s">
        <v>23</v>
      </c>
      <c r="C8" s="69"/>
      <c r="D8" s="70" t="s">
        <v>31</v>
      </c>
      <c r="E8" s="71" t="n">
        <f aca="false">COUNTIF('Répartition par antenne'!$A$5:$A$503,$A8)</f>
        <v>46</v>
      </c>
      <c r="F8" s="72" t="n">
        <f aca="false">SUMIF('Répartition par antenne'!$A$5:$A$503,$A8,'Répartition par antenne'!$E$5:$E$503)</f>
        <v>4341</v>
      </c>
      <c r="G8" s="71" t="n">
        <f aca="false">$N$4</f>
        <v>2</v>
      </c>
      <c r="H8" s="71" t="n">
        <f aca="false">MAX(1,ROUNDUP(E8/$N$2,0))</f>
        <v>2</v>
      </c>
      <c r="I8" s="71" t="n">
        <f aca="false">MAX(1,ROUNDUP(E8/$N$3,0))</f>
        <v>2</v>
      </c>
      <c r="J8" s="73" t="n">
        <f aca="false">G8+H8+I8</f>
        <v>6</v>
      </c>
      <c r="K8" s="72" t="n">
        <f aca="false">IFERROR(E8/J8,0)</f>
        <v>7.66666666666667</v>
      </c>
      <c r="L8" s="74" t="n">
        <f aca="false">E8/499</f>
        <v>0.0921843687374749</v>
      </c>
      <c r="M8" s="74" t="n">
        <f aca="false">F8/32821.6</f>
        <v>0.132260462622176</v>
      </c>
    </row>
    <row r="9" customFormat="false" ht="14.25" hidden="false" customHeight="false" outlineLevel="0" collapsed="false">
      <c r="A9" s="75" t="s">
        <v>32</v>
      </c>
      <c r="B9" s="75" t="s">
        <v>28</v>
      </c>
      <c r="C9" s="75" t="s">
        <v>30</v>
      </c>
      <c r="D9" s="76" t="s">
        <v>33</v>
      </c>
      <c r="E9" s="77" t="n">
        <f aca="false">COUNTIF('Répartition par antenne'!$A$5:$A$503,$A9)</f>
        <v>34</v>
      </c>
      <c r="F9" s="78" t="n">
        <f aca="false">SUMIF('Répartition par antenne'!$A$5:$A$503,$A9,'Répartition par antenne'!$E$5:$E$503)</f>
        <v>3110.4</v>
      </c>
      <c r="G9" s="77" t="n">
        <f aca="false">$N$4</f>
        <v>2</v>
      </c>
      <c r="H9" s="77" t="n">
        <f aca="false">MAX(1,ROUNDUP(E9/$N$2,0))</f>
        <v>2</v>
      </c>
      <c r="I9" s="77" t="n">
        <f aca="false">MAX(1,ROUNDUP(E9/$N$3,0))</f>
        <v>2</v>
      </c>
      <c r="J9" s="79" t="n">
        <f aca="false">G9+H9+I9</f>
        <v>6</v>
      </c>
      <c r="K9" s="78" t="n">
        <f aca="false">IFERROR(E9/J9,0)</f>
        <v>5.66666666666667</v>
      </c>
      <c r="L9" s="80" t="n">
        <f aca="false">E9/499</f>
        <v>0.0681362725450902</v>
      </c>
      <c r="M9" s="80" t="n">
        <f aca="false">F9/32821.6</f>
        <v>0.0947668608477344</v>
      </c>
    </row>
    <row r="10" customFormat="false" ht="14.25" hidden="false" customHeight="false" outlineLevel="0" collapsed="false">
      <c r="A10" s="75" t="s">
        <v>34</v>
      </c>
      <c r="B10" s="75" t="s">
        <v>28</v>
      </c>
      <c r="C10" s="75" t="s">
        <v>30</v>
      </c>
      <c r="D10" s="76" t="s">
        <v>35</v>
      </c>
      <c r="E10" s="77" t="n">
        <f aca="false">COUNTIF('Répartition par antenne'!$A$5:$A$503,$A10)</f>
        <v>55</v>
      </c>
      <c r="F10" s="78" t="n">
        <f aca="false">SUMIF('Répartition par antenne'!$A$5:$A$503,$A10,'Répartition par antenne'!$E$5:$E$503)</f>
        <v>4312.8</v>
      </c>
      <c r="G10" s="77" t="n">
        <f aca="false">$N$4</f>
        <v>2</v>
      </c>
      <c r="H10" s="77" t="n">
        <f aca="false">MAX(1,ROUNDUP(E10/$N$2,0))</f>
        <v>3</v>
      </c>
      <c r="I10" s="77" t="n">
        <f aca="false">MAX(1,ROUNDUP(E10/$N$3,0))</f>
        <v>2</v>
      </c>
      <c r="J10" s="79" t="n">
        <f aca="false">G10+H10+I10</f>
        <v>7</v>
      </c>
      <c r="K10" s="78" t="n">
        <f aca="false">IFERROR(E10/J10,0)</f>
        <v>7.85714285714286</v>
      </c>
      <c r="L10" s="80" t="n">
        <f aca="false">E10/499</f>
        <v>0.110220440881764</v>
      </c>
      <c r="M10" s="80" t="n">
        <f aca="false">F10/32821.6</f>
        <v>0.131401272332854</v>
      </c>
    </row>
    <row r="11" customFormat="false" ht="25.5" hidden="false" customHeight="true" outlineLevel="0" collapsed="false">
      <c r="A11" s="69" t="s">
        <v>36</v>
      </c>
      <c r="B11" s="69" t="s">
        <v>23</v>
      </c>
      <c r="C11" s="69"/>
      <c r="D11" s="70" t="s">
        <v>157</v>
      </c>
      <c r="E11" s="71" t="n">
        <f aca="false">COUNTIF('Répartition par antenne'!$A$5:$A$503,$A11)</f>
        <v>71</v>
      </c>
      <c r="F11" s="72" t="n">
        <f aca="false">SUMIF('Répartition par antenne'!$A$5:$A$503,$A11,'Répartition par antenne'!$E$5:$E$503)</f>
        <v>4015.2</v>
      </c>
      <c r="G11" s="71" t="n">
        <f aca="false">$N$4</f>
        <v>2</v>
      </c>
      <c r="H11" s="71" t="n">
        <f aca="false">MAX(1,ROUNDUP(E11/$N$2,0))</f>
        <v>3</v>
      </c>
      <c r="I11" s="71" t="n">
        <f aca="false">MAX(1,ROUNDUP(E11/$N$3,0))</f>
        <v>3</v>
      </c>
      <c r="J11" s="73" t="n">
        <f aca="false">G11+H11+I11</f>
        <v>8</v>
      </c>
      <c r="K11" s="72" t="n">
        <f aca="false">IFERROR(E11/J11,0)</f>
        <v>8.875</v>
      </c>
      <c r="L11" s="74" t="n">
        <f aca="false">E11/499</f>
        <v>0.142284569138277</v>
      </c>
      <c r="M11" s="74" t="n">
        <f aca="false">F11/32821.6</f>
        <v>0.122334072683842</v>
      </c>
    </row>
    <row r="12" customFormat="false" ht="14.25" hidden="false" customHeight="false" outlineLevel="0" collapsed="false">
      <c r="A12" s="75" t="s">
        <v>38</v>
      </c>
      <c r="B12" s="75" t="s">
        <v>28</v>
      </c>
      <c r="C12" s="75" t="s">
        <v>36</v>
      </c>
      <c r="D12" s="76" t="s">
        <v>39</v>
      </c>
      <c r="E12" s="77" t="n">
        <f aca="false">COUNTIF('Répartition par antenne'!$A$5:$A$503,$A12)</f>
        <v>68</v>
      </c>
      <c r="F12" s="78" t="n">
        <f aca="false">SUMIF('Répartition par antenne'!$A$5:$A$503,$A12,'Répartition par antenne'!$E$5:$E$503)</f>
        <v>4498.2</v>
      </c>
      <c r="G12" s="77" t="n">
        <f aca="false">$N$4</f>
        <v>2</v>
      </c>
      <c r="H12" s="77" t="n">
        <f aca="false">MAX(1,ROUNDUP(E12/$N$2,0))</f>
        <v>3</v>
      </c>
      <c r="I12" s="77" t="n">
        <f aca="false">MAX(1,ROUNDUP(E12/$N$3,0))</f>
        <v>3</v>
      </c>
      <c r="J12" s="79" t="n">
        <f aca="false">G12+H12+I12</f>
        <v>8</v>
      </c>
      <c r="K12" s="78" t="n">
        <f aca="false">IFERROR(E12/J12,0)</f>
        <v>8.5</v>
      </c>
      <c r="L12" s="80" t="n">
        <f aca="false">E12/499</f>
        <v>0.13627254509018</v>
      </c>
      <c r="M12" s="80" t="n">
        <f aca="false">F12/32821.6</f>
        <v>0.137049991469033</v>
      </c>
    </row>
    <row r="13" customFormat="false" ht="14.25" hidden="false" customHeight="false" outlineLevel="0" collapsed="false">
      <c r="A13" s="75" t="s">
        <v>40</v>
      </c>
      <c r="B13" s="75" t="s">
        <v>28</v>
      </c>
      <c r="C13" s="75" t="s">
        <v>36</v>
      </c>
      <c r="D13" s="76" t="s">
        <v>41</v>
      </c>
      <c r="E13" s="77" t="n">
        <f aca="false">COUNTIF('Répartition par antenne'!$A$5:$A$503,$A13)</f>
        <v>67</v>
      </c>
      <c r="F13" s="78" t="n">
        <f aca="false">SUMIF('Répartition par antenne'!$A$5:$A$503,$A13,'Répartition par antenne'!$E$5:$E$503)</f>
        <v>3198.2</v>
      </c>
      <c r="G13" s="77" t="n">
        <f aca="false">$N$4</f>
        <v>2</v>
      </c>
      <c r="H13" s="77" t="n">
        <f aca="false">MAX(1,ROUNDUP(E13/$N$2,0))</f>
        <v>3</v>
      </c>
      <c r="I13" s="77" t="n">
        <f aca="false">MAX(1,ROUNDUP(E13/$N$3,0))</f>
        <v>3</v>
      </c>
      <c r="J13" s="79" t="n">
        <f aca="false">G13+H13+I13</f>
        <v>8</v>
      </c>
      <c r="K13" s="78" t="n">
        <f aca="false">IFERROR(E13/J13,0)</f>
        <v>8.375</v>
      </c>
      <c r="L13" s="80" t="n">
        <f aca="false">E13/499</f>
        <v>0.134268537074148</v>
      </c>
      <c r="M13" s="80" t="n">
        <f aca="false">F13/32821.6</f>
        <v>0.0974419284861189</v>
      </c>
    </row>
    <row r="14" customFormat="false" ht="14.25" hidden="false" customHeight="false" outlineLevel="0" collapsed="false">
      <c r="A14" s="81" t="s">
        <v>78</v>
      </c>
      <c r="B14" s="82"/>
      <c r="C14" s="82"/>
      <c r="D14" s="82"/>
      <c r="E14" s="83" t="n">
        <f aca="false">SUM(E5:E13)</f>
        <v>499</v>
      </c>
      <c r="F14" s="84" t="n">
        <f aca="false">SUM(F5:F13)</f>
        <v>32821.6</v>
      </c>
      <c r="G14" s="82"/>
      <c r="H14" s="82"/>
      <c r="I14" s="82"/>
      <c r="J14" s="85" t="n">
        <f aca="false">SUM(J5:J13)</f>
        <v>63</v>
      </c>
      <c r="K14" s="82"/>
      <c r="L14" s="82"/>
      <c r="M14" s="82"/>
    </row>
    <row r="16" customFormat="false" ht="14.25" hidden="false" customHeight="false" outlineLevel="0" collapsed="false">
      <c r="A16" s="86" t="s">
        <v>158</v>
      </c>
      <c r="B16" s="86"/>
      <c r="C16" s="86"/>
      <c r="D16" s="86"/>
      <c r="E16" s="86"/>
      <c r="F16" s="86"/>
    </row>
    <row r="17" customFormat="false" ht="25.5" hidden="false" customHeight="true" outlineLevel="0" collapsed="false">
      <c r="A17" s="68" t="s">
        <v>159</v>
      </c>
      <c r="B17" s="68" t="s">
        <v>160</v>
      </c>
      <c r="C17" s="68" t="s">
        <v>161</v>
      </c>
      <c r="D17" s="68" t="s">
        <v>162</v>
      </c>
      <c r="E17" s="68" t="s">
        <v>154</v>
      </c>
    </row>
    <row r="18" customFormat="false" ht="14.25" hidden="false" customHeight="false" outlineLevel="0" collapsed="false">
      <c r="A18" s="87" t="s">
        <v>22</v>
      </c>
      <c r="B18" s="77" t="n">
        <f aca="false">SUM(E5:E5)</f>
        <v>79</v>
      </c>
      <c r="C18" s="78" t="n">
        <f aca="false">SUM(F5:F5)</f>
        <v>5234.6</v>
      </c>
      <c r="D18" s="77" t="n">
        <f aca="false">SUM(J5:J5)</f>
        <v>9</v>
      </c>
      <c r="E18" s="80" t="n">
        <f aca="false">B18/499</f>
        <v>0.158316633266533</v>
      </c>
    </row>
    <row r="19" customFormat="false" ht="14.25" hidden="false" customHeight="false" outlineLevel="0" collapsed="false">
      <c r="A19" s="88" t="s">
        <v>25</v>
      </c>
      <c r="B19" s="89" t="n">
        <f aca="false">SUM(E6:E7)</f>
        <v>79</v>
      </c>
      <c r="C19" s="90" t="n">
        <f aca="false">SUM(F6:F7)</f>
        <v>4111.2</v>
      </c>
      <c r="D19" s="89" t="n">
        <f aca="false">SUM(J6:J7)</f>
        <v>11</v>
      </c>
      <c r="E19" s="91" t="n">
        <f aca="false">B19/499</f>
        <v>0.158316633266533</v>
      </c>
    </row>
    <row r="20" customFormat="false" ht="14.25" hidden="false" customHeight="false" outlineLevel="0" collapsed="false">
      <c r="A20" s="87" t="s">
        <v>30</v>
      </c>
      <c r="B20" s="77" t="n">
        <f aca="false">SUM(E8:E10)</f>
        <v>135</v>
      </c>
      <c r="C20" s="78" t="n">
        <f aca="false">SUM(F8:F10)</f>
        <v>11764.2</v>
      </c>
      <c r="D20" s="77" t="n">
        <f aca="false">SUM(J8:J10)</f>
        <v>19</v>
      </c>
      <c r="E20" s="80" t="n">
        <f aca="false">B20/499</f>
        <v>0.270541082164329</v>
      </c>
    </row>
    <row r="21" customFormat="false" ht="14.25" hidden="false" customHeight="false" outlineLevel="0" collapsed="false">
      <c r="A21" s="88" t="s">
        <v>36</v>
      </c>
      <c r="B21" s="89" t="n">
        <f aca="false">SUM(E11:E13)</f>
        <v>206</v>
      </c>
      <c r="C21" s="90" t="n">
        <f aca="false">SUM(F11:F13)</f>
        <v>11711.6</v>
      </c>
      <c r="D21" s="89" t="n">
        <f aca="false">SUM(J11:J13)</f>
        <v>24</v>
      </c>
      <c r="E21" s="91" t="n">
        <f aca="false">B21/499</f>
        <v>0.412825651302605</v>
      </c>
    </row>
    <row r="22" customFormat="false" ht="14.25" hidden="false" customHeight="false" outlineLevel="0" collapsed="false">
      <c r="A22" s="92" t="s">
        <v>78</v>
      </c>
      <c r="B22" s="93" t="n">
        <f aca="false">B18+B19+B20+B21</f>
        <v>499</v>
      </c>
      <c r="C22" s="94" t="n">
        <f aca="false">C18+C19+C20+C21</f>
        <v>32821.6</v>
      </c>
      <c r="D22" s="95" t="n">
        <f aca="false">D18+D19+D20+D21</f>
        <v>63</v>
      </c>
      <c r="E22" s="96" t="n">
        <f aca="false">E19+E18+E20+E21</f>
        <v>1</v>
      </c>
    </row>
    <row r="24" customFormat="false" ht="14.25" hidden="false" customHeight="false" outlineLevel="0" collapsed="false">
      <c r="A24" s="97" t="s">
        <v>163</v>
      </c>
    </row>
    <row r="25" customFormat="false" ht="42" hidden="false" customHeight="true" outlineLevel="0" collapsed="false">
      <c r="A25" s="98" t="s">
        <v>164</v>
      </c>
      <c r="B25" s="98"/>
      <c r="C25" s="98"/>
      <c r="D25" s="98"/>
      <c r="E25" s="98"/>
      <c r="F25" s="98"/>
      <c r="G25" s="98"/>
      <c r="H25" s="98"/>
      <c r="I25" s="98"/>
      <c r="J25" s="98"/>
      <c r="K25" s="98"/>
      <c r="L25" s="98"/>
      <c r="M25" s="98"/>
    </row>
    <row r="27" customFormat="false" ht="30" hidden="false" customHeight="true" outlineLevel="0" collapsed="false">
      <c r="A27" s="98" t="s">
        <v>165</v>
      </c>
      <c r="B27" s="98"/>
      <c r="C27" s="98"/>
      <c r="D27" s="98"/>
      <c r="E27" s="98"/>
      <c r="F27" s="98"/>
      <c r="G27" s="98"/>
      <c r="H27" s="98"/>
      <c r="I27" s="98"/>
      <c r="J27" s="98"/>
      <c r="K27" s="98"/>
      <c r="L27" s="98"/>
      <c r="M27" s="98"/>
    </row>
  </sheetData>
  <mergeCells count="5">
    <mergeCell ref="A1:L1"/>
    <mergeCell ref="A2:L2"/>
    <mergeCell ref="A16:F16"/>
    <mergeCell ref="A25:M25"/>
    <mergeCell ref="A27:M27"/>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3" manualBreakCount="3">
    <brk id="27" man="true" max="16383" min="0"/>
    <brk id="48" man="true" max="16383" min="0"/>
    <brk id="68"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6F1"/>
    <pageSetUpPr fitToPage="true"/>
  </sheetPr>
  <dimension ref="A1:F5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219" activePane="bottomLeft" state="frozen"/>
      <selection pane="topLeft" activeCell="A1" activeCellId="0" sqref="A1"/>
      <selection pane="bottomLeft" activeCell="G229" activeCellId="0" sqref="G229"/>
    </sheetView>
  </sheetViews>
  <sheetFormatPr defaultColWidth="8.71484375" defaultRowHeight="14.2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20"/>
    <col collapsed="false" customWidth="true" hidden="false" outlineLevel="0" max="4" min="4" style="0" width="30"/>
    <col collapsed="false" customWidth="true" hidden="false" outlineLevel="0" max="5" min="5" style="99" width="16"/>
    <col collapsed="false" customWidth="true" hidden="false" outlineLevel="0" max="6" min="6" style="0" width="10"/>
  </cols>
  <sheetData>
    <row r="1" customFormat="false" ht="16.5" hidden="false" customHeight="true" outlineLevel="0" collapsed="false">
      <c r="A1" s="63" t="s">
        <v>166</v>
      </c>
      <c r="B1" s="63"/>
      <c r="C1" s="63"/>
      <c r="D1" s="63"/>
      <c r="E1" s="63"/>
      <c r="F1" s="63"/>
    </row>
    <row r="2" customFormat="false" ht="14.25" hidden="false" customHeight="false" outlineLevel="0" collapsed="false">
      <c r="A2" s="65" t="s">
        <v>167</v>
      </c>
      <c r="B2" s="65"/>
      <c r="C2" s="65"/>
      <c r="D2" s="65"/>
      <c r="E2" s="65"/>
      <c r="F2" s="65"/>
    </row>
    <row r="4" customFormat="false" ht="14.25" hidden="false" customHeight="false" outlineLevel="0" collapsed="false">
      <c r="A4" s="100" t="s">
        <v>168</v>
      </c>
      <c r="B4" s="100" t="s">
        <v>169</v>
      </c>
      <c r="C4" s="100" t="s">
        <v>170</v>
      </c>
      <c r="D4" s="100" t="s">
        <v>171</v>
      </c>
      <c r="E4" s="101" t="s">
        <v>18</v>
      </c>
      <c r="F4" s="100" t="s">
        <v>172</v>
      </c>
    </row>
    <row r="5" customFormat="false" ht="14.25" hidden="true" customHeight="false" outlineLevel="0" collapsed="false">
      <c r="A5" s="66" t="s">
        <v>22</v>
      </c>
      <c r="B5" s="66" t="s">
        <v>52</v>
      </c>
      <c r="C5" s="66" t="s">
        <v>173</v>
      </c>
      <c r="D5" s="66" t="s">
        <v>174</v>
      </c>
      <c r="E5" s="102" t="n">
        <v>21.6</v>
      </c>
      <c r="F5" s="66" t="s">
        <v>175</v>
      </c>
    </row>
    <row r="6" customFormat="false" ht="14.25" hidden="true" customHeight="false" outlineLevel="0" collapsed="false">
      <c r="A6" s="75" t="s">
        <v>22</v>
      </c>
      <c r="B6" s="75" t="s">
        <v>52</v>
      </c>
      <c r="C6" s="75" t="s">
        <v>173</v>
      </c>
      <c r="D6" s="75" t="s">
        <v>176</v>
      </c>
      <c r="E6" s="103" t="n">
        <v>100</v>
      </c>
      <c r="F6" s="75" t="s">
        <v>177</v>
      </c>
    </row>
    <row r="7" customFormat="false" ht="14.25" hidden="true" customHeight="false" outlineLevel="0" collapsed="false">
      <c r="A7" s="66" t="s">
        <v>22</v>
      </c>
      <c r="B7" s="66" t="s">
        <v>52</v>
      </c>
      <c r="C7" s="66" t="s">
        <v>173</v>
      </c>
      <c r="D7" s="66" t="s">
        <v>178</v>
      </c>
      <c r="E7" s="102" t="n">
        <v>21.6</v>
      </c>
      <c r="F7" s="66" t="s">
        <v>175</v>
      </c>
    </row>
    <row r="8" customFormat="false" ht="14.25" hidden="true" customHeight="false" outlineLevel="0" collapsed="false">
      <c r="A8" s="75" t="s">
        <v>22</v>
      </c>
      <c r="B8" s="75" t="s">
        <v>52</v>
      </c>
      <c r="C8" s="75" t="s">
        <v>173</v>
      </c>
      <c r="D8" s="75" t="s">
        <v>179</v>
      </c>
      <c r="E8" s="103" t="n">
        <v>80</v>
      </c>
      <c r="F8" s="75" t="s">
        <v>177</v>
      </c>
    </row>
    <row r="9" customFormat="false" ht="14.25" hidden="true" customHeight="false" outlineLevel="0" collapsed="false">
      <c r="A9" s="66" t="s">
        <v>22</v>
      </c>
      <c r="B9" s="66" t="s">
        <v>52</v>
      </c>
      <c r="C9" s="66" t="s">
        <v>173</v>
      </c>
      <c r="D9" s="66" t="s">
        <v>180</v>
      </c>
      <c r="E9" s="102" t="n">
        <v>81</v>
      </c>
      <c r="F9" s="66" t="s">
        <v>175</v>
      </c>
    </row>
    <row r="10" customFormat="false" ht="14.25" hidden="true" customHeight="false" outlineLevel="0" collapsed="false">
      <c r="A10" s="75" t="s">
        <v>22</v>
      </c>
      <c r="B10" s="75" t="s">
        <v>52</v>
      </c>
      <c r="C10" s="75" t="s">
        <v>173</v>
      </c>
      <c r="D10" s="75" t="s">
        <v>181</v>
      </c>
      <c r="E10" s="103" t="n">
        <v>21.6</v>
      </c>
      <c r="F10" s="75" t="s">
        <v>175</v>
      </c>
    </row>
    <row r="11" customFormat="false" ht="14.25" hidden="true" customHeight="false" outlineLevel="0" collapsed="false">
      <c r="A11" s="66" t="s">
        <v>22</v>
      </c>
      <c r="B11" s="66" t="s">
        <v>52</v>
      </c>
      <c r="C11" s="66" t="s">
        <v>173</v>
      </c>
      <c r="D11" s="66" t="s">
        <v>182</v>
      </c>
      <c r="E11" s="102" t="n">
        <v>54</v>
      </c>
      <c r="F11" s="66" t="s">
        <v>175</v>
      </c>
    </row>
    <row r="12" customFormat="false" ht="14.25" hidden="true" customHeight="false" outlineLevel="0" collapsed="false">
      <c r="A12" s="75" t="s">
        <v>22</v>
      </c>
      <c r="B12" s="75" t="s">
        <v>52</v>
      </c>
      <c r="C12" s="75" t="s">
        <v>183</v>
      </c>
      <c r="D12" s="75" t="s">
        <v>184</v>
      </c>
      <c r="E12" s="103" t="n">
        <v>81</v>
      </c>
      <c r="F12" s="75" t="s">
        <v>175</v>
      </c>
    </row>
    <row r="13" customFormat="false" ht="14.25" hidden="true" customHeight="false" outlineLevel="0" collapsed="false">
      <c r="A13" s="66" t="s">
        <v>22</v>
      </c>
      <c r="B13" s="66" t="s">
        <v>52</v>
      </c>
      <c r="C13" s="66" t="s">
        <v>183</v>
      </c>
      <c r="D13" s="66" t="s">
        <v>185</v>
      </c>
      <c r="E13" s="102" t="n">
        <v>140.4</v>
      </c>
      <c r="F13" s="66" t="s">
        <v>175</v>
      </c>
    </row>
    <row r="14" customFormat="false" ht="14.25" hidden="true" customHeight="false" outlineLevel="0" collapsed="false">
      <c r="A14" s="75" t="s">
        <v>22</v>
      </c>
      <c r="B14" s="75" t="s">
        <v>52</v>
      </c>
      <c r="C14" s="75" t="s">
        <v>183</v>
      </c>
      <c r="D14" s="75" t="s">
        <v>186</v>
      </c>
      <c r="E14" s="103" t="n">
        <v>81</v>
      </c>
      <c r="F14" s="75" t="s">
        <v>175</v>
      </c>
    </row>
    <row r="15" customFormat="false" ht="14.25" hidden="true" customHeight="false" outlineLevel="0" collapsed="false">
      <c r="A15" s="66" t="s">
        <v>22</v>
      </c>
      <c r="B15" s="66" t="s">
        <v>52</v>
      </c>
      <c r="C15" s="66" t="s">
        <v>183</v>
      </c>
      <c r="D15" s="66" t="s">
        <v>187</v>
      </c>
      <c r="E15" s="102" t="n">
        <v>32.4</v>
      </c>
      <c r="F15" s="66" t="s">
        <v>175</v>
      </c>
    </row>
    <row r="16" customFormat="false" ht="14.25" hidden="true" customHeight="false" outlineLevel="0" collapsed="false">
      <c r="A16" s="75" t="s">
        <v>22</v>
      </c>
      <c r="B16" s="75" t="s">
        <v>52</v>
      </c>
      <c r="C16" s="75" t="s">
        <v>188</v>
      </c>
      <c r="D16" s="75" t="s">
        <v>189</v>
      </c>
      <c r="E16" s="103" t="n">
        <v>32.4</v>
      </c>
      <c r="F16" s="75" t="s">
        <v>190</v>
      </c>
    </row>
    <row r="17" customFormat="false" ht="14.25" hidden="true" customHeight="false" outlineLevel="0" collapsed="false">
      <c r="A17" s="66" t="s">
        <v>22</v>
      </c>
      <c r="B17" s="66" t="s">
        <v>52</v>
      </c>
      <c r="C17" s="66" t="s">
        <v>188</v>
      </c>
      <c r="D17" s="66" t="s">
        <v>191</v>
      </c>
      <c r="E17" s="102" t="n">
        <v>15</v>
      </c>
      <c r="F17" s="66" t="s">
        <v>177</v>
      </c>
    </row>
    <row r="18" customFormat="false" ht="14.25" hidden="true" customHeight="false" outlineLevel="0" collapsed="false">
      <c r="A18" s="75" t="s">
        <v>22</v>
      </c>
      <c r="B18" s="75" t="s">
        <v>52</v>
      </c>
      <c r="C18" s="75" t="s">
        <v>188</v>
      </c>
      <c r="D18" s="75" t="s">
        <v>192</v>
      </c>
      <c r="E18" s="103" t="n">
        <v>50</v>
      </c>
      <c r="F18" s="75" t="s">
        <v>177</v>
      </c>
    </row>
    <row r="19" customFormat="false" ht="14.25" hidden="true" customHeight="false" outlineLevel="0" collapsed="false">
      <c r="A19" s="66" t="s">
        <v>22</v>
      </c>
      <c r="B19" s="66" t="s">
        <v>52</v>
      </c>
      <c r="C19" s="66" t="s">
        <v>188</v>
      </c>
      <c r="D19" s="66" t="s">
        <v>193</v>
      </c>
      <c r="E19" s="102" t="n">
        <v>54</v>
      </c>
      <c r="F19" s="66" t="s">
        <v>175</v>
      </c>
    </row>
    <row r="20" customFormat="false" ht="14.25" hidden="true" customHeight="false" outlineLevel="0" collapsed="false">
      <c r="A20" s="75" t="s">
        <v>22</v>
      </c>
      <c r="B20" s="75" t="s">
        <v>52</v>
      </c>
      <c r="C20" s="75" t="s">
        <v>188</v>
      </c>
      <c r="D20" s="75" t="s">
        <v>194</v>
      </c>
      <c r="E20" s="103" t="n">
        <v>15</v>
      </c>
      <c r="F20" s="75" t="s">
        <v>177</v>
      </c>
    </row>
    <row r="21" customFormat="false" ht="14.25" hidden="true" customHeight="false" outlineLevel="0" collapsed="false">
      <c r="A21" s="66" t="s">
        <v>22</v>
      </c>
      <c r="B21" s="66" t="s">
        <v>52</v>
      </c>
      <c r="C21" s="66" t="s">
        <v>188</v>
      </c>
      <c r="D21" s="66" t="s">
        <v>195</v>
      </c>
      <c r="E21" s="102" t="n">
        <v>140.4</v>
      </c>
      <c r="F21" s="66" t="s">
        <v>175</v>
      </c>
    </row>
    <row r="22" customFormat="false" ht="14.25" hidden="true" customHeight="false" outlineLevel="0" collapsed="false">
      <c r="A22" s="75" t="s">
        <v>22</v>
      </c>
      <c r="B22" s="75" t="s">
        <v>52</v>
      </c>
      <c r="C22" s="75" t="s">
        <v>188</v>
      </c>
      <c r="D22" s="75" t="s">
        <v>196</v>
      </c>
      <c r="E22" s="103" t="n">
        <v>80</v>
      </c>
      <c r="F22" s="75" t="s">
        <v>177</v>
      </c>
    </row>
    <row r="23" customFormat="false" ht="14.25" hidden="true" customHeight="false" outlineLevel="0" collapsed="false">
      <c r="A23" s="66" t="s">
        <v>22</v>
      </c>
      <c r="B23" s="66" t="s">
        <v>52</v>
      </c>
      <c r="C23" s="66" t="s">
        <v>188</v>
      </c>
      <c r="D23" s="66" t="s">
        <v>197</v>
      </c>
      <c r="E23" s="102" t="n">
        <v>21.6</v>
      </c>
      <c r="F23" s="66" t="s">
        <v>175</v>
      </c>
    </row>
    <row r="24" customFormat="false" ht="14.25" hidden="true" customHeight="false" outlineLevel="0" collapsed="false">
      <c r="A24" s="75" t="s">
        <v>22</v>
      </c>
      <c r="B24" s="75" t="s">
        <v>52</v>
      </c>
      <c r="C24" s="75" t="s">
        <v>198</v>
      </c>
      <c r="D24" s="75" t="s">
        <v>199</v>
      </c>
      <c r="E24" s="103" t="n">
        <v>81</v>
      </c>
      <c r="F24" s="75" t="s">
        <v>175</v>
      </c>
    </row>
    <row r="25" customFormat="false" ht="14.25" hidden="true" customHeight="false" outlineLevel="0" collapsed="false">
      <c r="A25" s="66" t="s">
        <v>22</v>
      </c>
      <c r="B25" s="66" t="s">
        <v>52</v>
      </c>
      <c r="C25" s="66" t="s">
        <v>198</v>
      </c>
      <c r="D25" s="66" t="s">
        <v>200</v>
      </c>
      <c r="E25" s="102" t="n">
        <v>81</v>
      </c>
      <c r="F25" s="66" t="s">
        <v>175</v>
      </c>
    </row>
    <row r="26" customFormat="false" ht="14.25" hidden="true" customHeight="false" outlineLevel="0" collapsed="false">
      <c r="A26" s="75" t="s">
        <v>22</v>
      </c>
      <c r="B26" s="75" t="s">
        <v>52</v>
      </c>
      <c r="C26" s="75" t="s">
        <v>198</v>
      </c>
      <c r="D26" s="75" t="s">
        <v>201</v>
      </c>
      <c r="E26" s="103" t="n">
        <v>54</v>
      </c>
      <c r="F26" s="75" t="s">
        <v>175</v>
      </c>
    </row>
    <row r="27" customFormat="false" ht="14.25" hidden="true" customHeight="false" outlineLevel="0" collapsed="false">
      <c r="A27" s="66" t="s">
        <v>22</v>
      </c>
      <c r="B27" s="66" t="s">
        <v>52</v>
      </c>
      <c r="C27" s="66" t="s">
        <v>202</v>
      </c>
      <c r="D27" s="66" t="s">
        <v>203</v>
      </c>
      <c r="E27" s="102" t="n">
        <v>32.4</v>
      </c>
      <c r="F27" s="66" t="s">
        <v>175</v>
      </c>
    </row>
    <row r="28" customFormat="false" ht="14.25" hidden="true" customHeight="false" outlineLevel="0" collapsed="false">
      <c r="A28" s="75" t="s">
        <v>22</v>
      </c>
      <c r="B28" s="75" t="s">
        <v>52</v>
      </c>
      <c r="C28" s="75" t="s">
        <v>202</v>
      </c>
      <c r="D28" s="75" t="s">
        <v>204</v>
      </c>
      <c r="E28" s="103" t="n">
        <v>81</v>
      </c>
      <c r="F28" s="75" t="s">
        <v>175</v>
      </c>
    </row>
    <row r="29" customFormat="false" ht="14.25" hidden="true" customHeight="false" outlineLevel="0" collapsed="false">
      <c r="A29" s="66" t="s">
        <v>22</v>
      </c>
      <c r="B29" s="66" t="s">
        <v>52</v>
      </c>
      <c r="C29" s="66" t="s">
        <v>205</v>
      </c>
      <c r="D29" s="66" t="s">
        <v>206</v>
      </c>
      <c r="E29" s="102" t="n">
        <v>80</v>
      </c>
      <c r="F29" s="66" t="s">
        <v>177</v>
      </c>
    </row>
    <row r="30" customFormat="false" ht="14.25" hidden="true" customHeight="false" outlineLevel="0" collapsed="false">
      <c r="A30" s="75" t="s">
        <v>22</v>
      </c>
      <c r="B30" s="75" t="s">
        <v>52</v>
      </c>
      <c r="C30" s="75" t="s">
        <v>205</v>
      </c>
      <c r="D30" s="75" t="s">
        <v>207</v>
      </c>
      <c r="E30" s="103" t="n">
        <v>81</v>
      </c>
      <c r="F30" s="75" t="s">
        <v>175</v>
      </c>
    </row>
    <row r="31" customFormat="false" ht="14.25" hidden="true" customHeight="false" outlineLevel="0" collapsed="false">
      <c r="A31" s="66" t="s">
        <v>22</v>
      </c>
      <c r="B31" s="66" t="s">
        <v>52</v>
      </c>
      <c r="C31" s="66" t="s">
        <v>205</v>
      </c>
      <c r="D31" s="66" t="s">
        <v>208</v>
      </c>
      <c r="E31" s="102" t="n">
        <v>80</v>
      </c>
      <c r="F31" s="66" t="s">
        <v>177</v>
      </c>
    </row>
    <row r="32" customFormat="false" ht="14.25" hidden="true" customHeight="false" outlineLevel="0" collapsed="false">
      <c r="A32" s="75" t="s">
        <v>22</v>
      </c>
      <c r="B32" s="75" t="s">
        <v>52</v>
      </c>
      <c r="C32" s="75" t="s">
        <v>205</v>
      </c>
      <c r="D32" s="75" t="s">
        <v>209</v>
      </c>
      <c r="E32" s="103" t="n">
        <v>32.4</v>
      </c>
      <c r="F32" s="75" t="s">
        <v>190</v>
      </c>
    </row>
    <row r="33" customFormat="false" ht="14.25" hidden="true" customHeight="false" outlineLevel="0" collapsed="false">
      <c r="A33" s="66" t="s">
        <v>22</v>
      </c>
      <c r="B33" s="66" t="s">
        <v>52</v>
      </c>
      <c r="C33" s="66" t="s">
        <v>205</v>
      </c>
      <c r="D33" s="66" t="s">
        <v>210</v>
      </c>
      <c r="E33" s="102" t="n">
        <v>80</v>
      </c>
      <c r="F33" s="66" t="s">
        <v>177</v>
      </c>
    </row>
    <row r="34" customFormat="false" ht="14.25" hidden="true" customHeight="false" outlineLevel="0" collapsed="false">
      <c r="A34" s="75" t="s">
        <v>22</v>
      </c>
      <c r="B34" s="75" t="s">
        <v>52</v>
      </c>
      <c r="C34" s="75" t="s">
        <v>205</v>
      </c>
      <c r="D34" s="75" t="s">
        <v>211</v>
      </c>
      <c r="E34" s="103" t="n">
        <v>32.4</v>
      </c>
      <c r="F34" s="75" t="s">
        <v>190</v>
      </c>
    </row>
    <row r="35" customFormat="false" ht="14.25" hidden="true" customHeight="false" outlineLevel="0" collapsed="false">
      <c r="A35" s="66" t="s">
        <v>22</v>
      </c>
      <c r="B35" s="66" t="s">
        <v>52</v>
      </c>
      <c r="C35" s="66" t="s">
        <v>205</v>
      </c>
      <c r="D35" s="66" t="s">
        <v>212</v>
      </c>
      <c r="E35" s="102" t="n">
        <v>80</v>
      </c>
      <c r="F35" s="66" t="s">
        <v>177</v>
      </c>
    </row>
    <row r="36" customFormat="false" ht="14.25" hidden="true" customHeight="false" outlineLevel="0" collapsed="false">
      <c r="A36" s="75" t="s">
        <v>22</v>
      </c>
      <c r="B36" s="75" t="s">
        <v>52</v>
      </c>
      <c r="C36" s="75" t="s">
        <v>205</v>
      </c>
      <c r="D36" s="75" t="s">
        <v>213</v>
      </c>
      <c r="E36" s="103" t="n">
        <v>21.6</v>
      </c>
      <c r="F36" s="75" t="s">
        <v>175</v>
      </c>
    </row>
    <row r="37" customFormat="false" ht="14.25" hidden="true" customHeight="false" outlineLevel="0" collapsed="false">
      <c r="A37" s="66" t="s">
        <v>22</v>
      </c>
      <c r="B37" s="66" t="s">
        <v>52</v>
      </c>
      <c r="C37" s="66" t="s">
        <v>205</v>
      </c>
      <c r="D37" s="66" t="s">
        <v>214</v>
      </c>
      <c r="E37" s="102" t="n">
        <v>54</v>
      </c>
      <c r="F37" s="66" t="s">
        <v>175</v>
      </c>
    </row>
    <row r="38" customFormat="false" ht="14.25" hidden="true" customHeight="false" outlineLevel="0" collapsed="false">
      <c r="A38" s="75" t="s">
        <v>22</v>
      </c>
      <c r="B38" s="75" t="s">
        <v>52</v>
      </c>
      <c r="C38" s="75" t="s">
        <v>205</v>
      </c>
      <c r="D38" s="75" t="s">
        <v>215</v>
      </c>
      <c r="E38" s="103" t="n">
        <v>80</v>
      </c>
      <c r="F38" s="75" t="s">
        <v>177</v>
      </c>
    </row>
    <row r="39" customFormat="false" ht="14.25" hidden="true" customHeight="false" outlineLevel="0" collapsed="false">
      <c r="A39" s="66" t="s">
        <v>22</v>
      </c>
      <c r="B39" s="66" t="s">
        <v>52</v>
      </c>
      <c r="C39" s="66" t="s">
        <v>205</v>
      </c>
      <c r="D39" s="66" t="s">
        <v>216</v>
      </c>
      <c r="E39" s="102" t="n">
        <v>100</v>
      </c>
      <c r="F39" s="66" t="s">
        <v>177</v>
      </c>
    </row>
    <row r="40" customFormat="false" ht="14.25" hidden="true" customHeight="false" outlineLevel="0" collapsed="false">
      <c r="A40" s="75" t="s">
        <v>22</v>
      </c>
      <c r="B40" s="75" t="s">
        <v>52</v>
      </c>
      <c r="C40" s="75" t="s">
        <v>205</v>
      </c>
      <c r="D40" s="75" t="s">
        <v>217</v>
      </c>
      <c r="E40" s="103" t="n">
        <v>100</v>
      </c>
      <c r="F40" s="75" t="s">
        <v>177</v>
      </c>
    </row>
    <row r="41" customFormat="false" ht="14.25" hidden="true" customHeight="false" outlineLevel="0" collapsed="false">
      <c r="A41" s="66" t="s">
        <v>22</v>
      </c>
      <c r="B41" s="66" t="s">
        <v>52</v>
      </c>
      <c r="C41" s="66" t="s">
        <v>205</v>
      </c>
      <c r="D41" s="66" t="s">
        <v>218</v>
      </c>
      <c r="E41" s="102" t="n">
        <v>80</v>
      </c>
      <c r="F41" s="66" t="s">
        <v>177</v>
      </c>
    </row>
    <row r="42" customFormat="false" ht="14.25" hidden="true" customHeight="false" outlineLevel="0" collapsed="false">
      <c r="A42" s="75" t="s">
        <v>22</v>
      </c>
      <c r="B42" s="75" t="s">
        <v>52</v>
      </c>
      <c r="C42" s="75" t="s">
        <v>219</v>
      </c>
      <c r="D42" s="75" t="s">
        <v>220</v>
      </c>
      <c r="E42" s="103" t="n">
        <v>80</v>
      </c>
      <c r="F42" s="75" t="s">
        <v>177</v>
      </c>
    </row>
    <row r="43" customFormat="false" ht="14.25" hidden="true" customHeight="false" outlineLevel="0" collapsed="false">
      <c r="A43" s="66" t="s">
        <v>22</v>
      </c>
      <c r="B43" s="66" t="s">
        <v>52</v>
      </c>
      <c r="C43" s="66" t="s">
        <v>219</v>
      </c>
      <c r="D43" s="66" t="s">
        <v>221</v>
      </c>
      <c r="E43" s="102" t="n">
        <v>30</v>
      </c>
      <c r="F43" s="66" t="s">
        <v>177</v>
      </c>
    </row>
    <row r="44" customFormat="false" ht="14.25" hidden="true" customHeight="false" outlineLevel="0" collapsed="false">
      <c r="A44" s="75" t="s">
        <v>22</v>
      </c>
      <c r="B44" s="75" t="s">
        <v>52</v>
      </c>
      <c r="C44" s="75" t="s">
        <v>219</v>
      </c>
      <c r="D44" s="75" t="s">
        <v>222</v>
      </c>
      <c r="E44" s="103" t="n">
        <v>15</v>
      </c>
      <c r="F44" s="75" t="s">
        <v>177</v>
      </c>
    </row>
    <row r="45" customFormat="false" ht="14.25" hidden="true" customHeight="false" outlineLevel="0" collapsed="false">
      <c r="A45" s="66" t="s">
        <v>22</v>
      </c>
      <c r="B45" s="66" t="s">
        <v>223</v>
      </c>
      <c r="C45" s="66" t="s">
        <v>224</v>
      </c>
      <c r="D45" s="66" t="s">
        <v>225</v>
      </c>
      <c r="E45" s="102" t="n">
        <v>54</v>
      </c>
      <c r="F45" s="66" t="s">
        <v>190</v>
      </c>
    </row>
    <row r="46" customFormat="false" ht="14.25" hidden="true" customHeight="false" outlineLevel="0" collapsed="false">
      <c r="A46" s="75" t="s">
        <v>22</v>
      </c>
      <c r="B46" s="75" t="s">
        <v>223</v>
      </c>
      <c r="C46" s="75" t="s">
        <v>224</v>
      </c>
      <c r="D46" s="75" t="s">
        <v>226</v>
      </c>
      <c r="E46" s="103" t="n">
        <v>32.4</v>
      </c>
      <c r="F46" s="75" t="s">
        <v>190</v>
      </c>
    </row>
    <row r="47" customFormat="false" ht="14.25" hidden="true" customHeight="false" outlineLevel="0" collapsed="false">
      <c r="A47" s="66" t="s">
        <v>22</v>
      </c>
      <c r="B47" s="66" t="s">
        <v>223</v>
      </c>
      <c r="C47" s="66" t="s">
        <v>224</v>
      </c>
      <c r="D47" s="66" t="s">
        <v>227</v>
      </c>
      <c r="E47" s="102" t="n">
        <v>54</v>
      </c>
      <c r="F47" s="66" t="s">
        <v>190</v>
      </c>
    </row>
    <row r="48" customFormat="false" ht="14.25" hidden="true" customHeight="false" outlineLevel="0" collapsed="false">
      <c r="A48" s="75" t="s">
        <v>22</v>
      </c>
      <c r="B48" s="75" t="s">
        <v>223</v>
      </c>
      <c r="C48" s="75" t="s">
        <v>224</v>
      </c>
      <c r="D48" s="75" t="s">
        <v>228</v>
      </c>
      <c r="E48" s="103" t="n">
        <v>50</v>
      </c>
      <c r="F48" s="75" t="s">
        <v>177</v>
      </c>
    </row>
    <row r="49" customFormat="false" ht="14.25" hidden="true" customHeight="false" outlineLevel="0" collapsed="false">
      <c r="A49" s="66" t="s">
        <v>22</v>
      </c>
      <c r="B49" s="66" t="s">
        <v>223</v>
      </c>
      <c r="C49" s="66" t="s">
        <v>229</v>
      </c>
      <c r="D49" s="66" t="s">
        <v>230</v>
      </c>
      <c r="E49" s="102" t="n">
        <v>80</v>
      </c>
      <c r="F49" s="66" t="s">
        <v>177</v>
      </c>
    </row>
    <row r="50" customFormat="false" ht="14.25" hidden="true" customHeight="false" outlineLevel="0" collapsed="false">
      <c r="A50" s="75" t="s">
        <v>22</v>
      </c>
      <c r="B50" s="75" t="s">
        <v>223</v>
      </c>
      <c r="C50" s="75" t="s">
        <v>229</v>
      </c>
      <c r="D50" s="75" t="s">
        <v>231</v>
      </c>
      <c r="E50" s="103" t="n">
        <v>81</v>
      </c>
      <c r="F50" s="75" t="s">
        <v>190</v>
      </c>
    </row>
    <row r="51" customFormat="false" ht="14.25" hidden="true" customHeight="false" outlineLevel="0" collapsed="false">
      <c r="A51" s="66" t="s">
        <v>22</v>
      </c>
      <c r="B51" s="66" t="s">
        <v>223</v>
      </c>
      <c r="C51" s="66" t="s">
        <v>232</v>
      </c>
      <c r="D51" s="66" t="s">
        <v>233</v>
      </c>
      <c r="E51" s="102" t="n">
        <v>21.6</v>
      </c>
      <c r="F51" s="66" t="s">
        <v>190</v>
      </c>
    </row>
    <row r="52" customFormat="false" ht="14.25" hidden="true" customHeight="false" outlineLevel="0" collapsed="false">
      <c r="A52" s="75" t="s">
        <v>22</v>
      </c>
      <c r="B52" s="75" t="s">
        <v>223</v>
      </c>
      <c r="C52" s="75" t="s">
        <v>234</v>
      </c>
      <c r="D52" s="75" t="s">
        <v>235</v>
      </c>
      <c r="E52" s="103" t="n">
        <v>54</v>
      </c>
      <c r="F52" s="75" t="s">
        <v>175</v>
      </c>
    </row>
    <row r="53" customFormat="false" ht="14.25" hidden="true" customHeight="false" outlineLevel="0" collapsed="false">
      <c r="A53" s="66" t="s">
        <v>22</v>
      </c>
      <c r="B53" s="66" t="s">
        <v>223</v>
      </c>
      <c r="C53" s="66" t="s">
        <v>234</v>
      </c>
      <c r="D53" s="66" t="s">
        <v>236</v>
      </c>
      <c r="E53" s="102" t="n">
        <v>21.6</v>
      </c>
      <c r="F53" s="66" t="s">
        <v>190</v>
      </c>
    </row>
    <row r="54" customFormat="false" ht="14.25" hidden="true" customHeight="false" outlineLevel="0" collapsed="false">
      <c r="A54" s="75" t="s">
        <v>22</v>
      </c>
      <c r="B54" s="75" t="s">
        <v>223</v>
      </c>
      <c r="C54" s="75" t="s">
        <v>234</v>
      </c>
      <c r="D54" s="75" t="s">
        <v>237</v>
      </c>
      <c r="E54" s="103" t="n">
        <v>54</v>
      </c>
      <c r="F54" s="75" t="s">
        <v>190</v>
      </c>
    </row>
    <row r="55" customFormat="false" ht="14.25" hidden="true" customHeight="false" outlineLevel="0" collapsed="false">
      <c r="A55" s="66" t="s">
        <v>22</v>
      </c>
      <c r="B55" s="66" t="s">
        <v>223</v>
      </c>
      <c r="C55" s="66" t="s">
        <v>234</v>
      </c>
      <c r="D55" s="66" t="s">
        <v>238</v>
      </c>
      <c r="E55" s="102" t="n">
        <v>54</v>
      </c>
      <c r="F55" s="66" t="s">
        <v>190</v>
      </c>
    </row>
    <row r="56" customFormat="false" ht="14.25" hidden="true" customHeight="false" outlineLevel="0" collapsed="false">
      <c r="A56" s="75" t="s">
        <v>22</v>
      </c>
      <c r="B56" s="75" t="s">
        <v>223</v>
      </c>
      <c r="C56" s="75" t="s">
        <v>234</v>
      </c>
      <c r="D56" s="75" t="s">
        <v>239</v>
      </c>
      <c r="E56" s="103" t="n">
        <v>50</v>
      </c>
      <c r="F56" s="75" t="s">
        <v>177</v>
      </c>
    </row>
    <row r="57" customFormat="false" ht="14.25" hidden="true" customHeight="false" outlineLevel="0" collapsed="false">
      <c r="A57" s="66" t="s">
        <v>22</v>
      </c>
      <c r="B57" s="66" t="s">
        <v>223</v>
      </c>
      <c r="C57" s="66" t="s">
        <v>234</v>
      </c>
      <c r="D57" s="66" t="s">
        <v>240</v>
      </c>
      <c r="E57" s="102" t="n">
        <v>54</v>
      </c>
      <c r="F57" s="66" t="s">
        <v>190</v>
      </c>
    </row>
    <row r="58" customFormat="false" ht="14.25" hidden="true" customHeight="false" outlineLevel="0" collapsed="false">
      <c r="A58" s="75" t="s">
        <v>22</v>
      </c>
      <c r="B58" s="75" t="s">
        <v>223</v>
      </c>
      <c r="C58" s="75" t="s">
        <v>241</v>
      </c>
      <c r="D58" s="75" t="s">
        <v>242</v>
      </c>
      <c r="E58" s="103" t="n">
        <v>80</v>
      </c>
      <c r="F58" s="75" t="s">
        <v>177</v>
      </c>
    </row>
    <row r="59" customFormat="false" ht="14.25" hidden="true" customHeight="false" outlineLevel="0" collapsed="false">
      <c r="A59" s="66" t="s">
        <v>22</v>
      </c>
      <c r="B59" s="66" t="s">
        <v>223</v>
      </c>
      <c r="C59" s="66" t="s">
        <v>243</v>
      </c>
      <c r="D59" s="66" t="s">
        <v>244</v>
      </c>
      <c r="E59" s="102" t="n">
        <v>183.6</v>
      </c>
      <c r="F59" s="66" t="s">
        <v>190</v>
      </c>
    </row>
    <row r="60" customFormat="false" ht="14.25" hidden="true" customHeight="false" outlineLevel="0" collapsed="false">
      <c r="A60" s="75" t="s">
        <v>22</v>
      </c>
      <c r="B60" s="75" t="s">
        <v>223</v>
      </c>
      <c r="C60" s="75" t="s">
        <v>243</v>
      </c>
      <c r="D60" s="75" t="s">
        <v>245</v>
      </c>
      <c r="E60" s="103" t="n">
        <v>81</v>
      </c>
      <c r="F60" s="75" t="s">
        <v>175</v>
      </c>
    </row>
    <row r="61" customFormat="false" ht="14.25" hidden="true" customHeight="false" outlineLevel="0" collapsed="false">
      <c r="A61" s="66" t="s">
        <v>22</v>
      </c>
      <c r="B61" s="66" t="s">
        <v>223</v>
      </c>
      <c r="C61" s="66" t="s">
        <v>243</v>
      </c>
      <c r="D61" s="66" t="s">
        <v>246</v>
      </c>
      <c r="E61" s="102" t="n">
        <v>54</v>
      </c>
      <c r="F61" s="66" t="s">
        <v>175</v>
      </c>
    </row>
    <row r="62" customFormat="false" ht="14.25" hidden="true" customHeight="false" outlineLevel="0" collapsed="false">
      <c r="A62" s="75" t="s">
        <v>22</v>
      </c>
      <c r="B62" s="75" t="s">
        <v>223</v>
      </c>
      <c r="C62" s="75" t="s">
        <v>243</v>
      </c>
      <c r="D62" s="75" t="s">
        <v>247</v>
      </c>
      <c r="E62" s="103" t="n">
        <v>100</v>
      </c>
      <c r="F62" s="75" t="s">
        <v>177</v>
      </c>
    </row>
    <row r="63" customFormat="false" ht="14.25" hidden="true" customHeight="false" outlineLevel="0" collapsed="false">
      <c r="A63" s="66" t="s">
        <v>22</v>
      </c>
      <c r="B63" s="66" t="s">
        <v>223</v>
      </c>
      <c r="C63" s="66" t="s">
        <v>243</v>
      </c>
      <c r="D63" s="66" t="s">
        <v>248</v>
      </c>
      <c r="E63" s="102" t="n">
        <v>80</v>
      </c>
      <c r="F63" s="66" t="s">
        <v>177</v>
      </c>
    </row>
    <row r="64" customFormat="false" ht="14.25" hidden="true" customHeight="false" outlineLevel="0" collapsed="false">
      <c r="A64" s="75" t="s">
        <v>22</v>
      </c>
      <c r="B64" s="75" t="s">
        <v>223</v>
      </c>
      <c r="C64" s="75" t="s">
        <v>243</v>
      </c>
      <c r="D64" s="75" t="s">
        <v>249</v>
      </c>
      <c r="E64" s="103" t="n">
        <v>54</v>
      </c>
      <c r="F64" s="75" t="s">
        <v>190</v>
      </c>
    </row>
    <row r="65" customFormat="false" ht="14.25" hidden="true" customHeight="false" outlineLevel="0" collapsed="false">
      <c r="A65" s="66" t="s">
        <v>22</v>
      </c>
      <c r="B65" s="66" t="s">
        <v>223</v>
      </c>
      <c r="C65" s="66" t="s">
        <v>243</v>
      </c>
      <c r="D65" s="66" t="s">
        <v>250</v>
      </c>
      <c r="E65" s="102" t="n">
        <v>50</v>
      </c>
      <c r="F65" s="66" t="s">
        <v>177</v>
      </c>
    </row>
    <row r="66" customFormat="false" ht="14.25" hidden="true" customHeight="false" outlineLevel="0" collapsed="false">
      <c r="A66" s="75" t="s">
        <v>22</v>
      </c>
      <c r="B66" s="75" t="s">
        <v>223</v>
      </c>
      <c r="C66" s="75" t="s">
        <v>243</v>
      </c>
      <c r="D66" s="75" t="s">
        <v>251</v>
      </c>
      <c r="E66" s="103" t="n">
        <v>97.2</v>
      </c>
      <c r="F66" s="75" t="s">
        <v>190</v>
      </c>
    </row>
    <row r="67" customFormat="false" ht="14.25" hidden="true" customHeight="false" outlineLevel="0" collapsed="false">
      <c r="A67" s="66" t="s">
        <v>22</v>
      </c>
      <c r="B67" s="66" t="s">
        <v>223</v>
      </c>
      <c r="C67" s="66" t="s">
        <v>243</v>
      </c>
      <c r="D67" s="66" t="s">
        <v>252</v>
      </c>
      <c r="E67" s="102" t="n">
        <v>81</v>
      </c>
      <c r="F67" s="66" t="s">
        <v>175</v>
      </c>
    </row>
    <row r="68" customFormat="false" ht="14.25" hidden="true" customHeight="false" outlineLevel="0" collapsed="false">
      <c r="A68" s="75" t="s">
        <v>22</v>
      </c>
      <c r="B68" s="75" t="s">
        <v>223</v>
      </c>
      <c r="C68" s="75" t="s">
        <v>243</v>
      </c>
      <c r="D68" s="75" t="s">
        <v>253</v>
      </c>
      <c r="E68" s="103" t="n">
        <v>140.4</v>
      </c>
      <c r="F68" s="75" t="s">
        <v>190</v>
      </c>
    </row>
    <row r="69" customFormat="false" ht="14.25" hidden="true" customHeight="false" outlineLevel="0" collapsed="false">
      <c r="A69" s="66" t="s">
        <v>22</v>
      </c>
      <c r="B69" s="66" t="s">
        <v>223</v>
      </c>
      <c r="C69" s="66" t="s">
        <v>243</v>
      </c>
      <c r="D69" s="66" t="s">
        <v>254</v>
      </c>
      <c r="E69" s="102" t="n">
        <v>54</v>
      </c>
      <c r="F69" s="66" t="s">
        <v>190</v>
      </c>
    </row>
    <row r="70" customFormat="false" ht="14.25" hidden="true" customHeight="false" outlineLevel="0" collapsed="false">
      <c r="A70" s="75" t="s">
        <v>22</v>
      </c>
      <c r="B70" s="75" t="s">
        <v>223</v>
      </c>
      <c r="C70" s="75" t="s">
        <v>243</v>
      </c>
      <c r="D70" s="75" t="s">
        <v>255</v>
      </c>
      <c r="E70" s="103" t="n">
        <v>81</v>
      </c>
      <c r="F70" s="75" t="s">
        <v>175</v>
      </c>
    </row>
    <row r="71" customFormat="false" ht="14.25" hidden="true" customHeight="false" outlineLevel="0" collapsed="false">
      <c r="A71" s="66" t="s">
        <v>22</v>
      </c>
      <c r="B71" s="66" t="s">
        <v>223</v>
      </c>
      <c r="C71" s="66" t="s">
        <v>243</v>
      </c>
      <c r="D71" s="66" t="s">
        <v>256</v>
      </c>
      <c r="E71" s="102" t="n">
        <v>100</v>
      </c>
      <c r="F71" s="66" t="s">
        <v>177</v>
      </c>
    </row>
    <row r="72" customFormat="false" ht="14.25" hidden="true" customHeight="false" outlineLevel="0" collapsed="false">
      <c r="A72" s="75" t="s">
        <v>22</v>
      </c>
      <c r="B72" s="75" t="s">
        <v>223</v>
      </c>
      <c r="C72" s="75" t="s">
        <v>243</v>
      </c>
      <c r="D72" s="75" t="s">
        <v>257</v>
      </c>
      <c r="E72" s="103" t="n">
        <v>140.4</v>
      </c>
      <c r="F72" s="75" t="s">
        <v>190</v>
      </c>
    </row>
    <row r="73" customFormat="false" ht="14.25" hidden="true" customHeight="false" outlineLevel="0" collapsed="false">
      <c r="A73" s="66" t="s">
        <v>22</v>
      </c>
      <c r="B73" s="66" t="s">
        <v>223</v>
      </c>
      <c r="C73" s="66" t="s">
        <v>243</v>
      </c>
      <c r="D73" s="66" t="s">
        <v>258</v>
      </c>
      <c r="E73" s="102" t="n">
        <v>100</v>
      </c>
      <c r="F73" s="66" t="s">
        <v>177</v>
      </c>
    </row>
    <row r="74" customFormat="false" ht="14.25" hidden="true" customHeight="false" outlineLevel="0" collapsed="false">
      <c r="A74" s="75" t="s">
        <v>22</v>
      </c>
      <c r="B74" s="75" t="s">
        <v>223</v>
      </c>
      <c r="C74" s="75" t="s">
        <v>243</v>
      </c>
      <c r="D74" s="75" t="s">
        <v>259</v>
      </c>
      <c r="E74" s="103" t="n">
        <v>32.4</v>
      </c>
      <c r="F74" s="75" t="s">
        <v>175</v>
      </c>
    </row>
    <row r="75" customFormat="false" ht="14.25" hidden="true" customHeight="false" outlineLevel="0" collapsed="false">
      <c r="A75" s="66" t="s">
        <v>22</v>
      </c>
      <c r="B75" s="66" t="s">
        <v>223</v>
      </c>
      <c r="C75" s="66" t="s">
        <v>243</v>
      </c>
      <c r="D75" s="66" t="s">
        <v>260</v>
      </c>
      <c r="E75" s="102" t="n">
        <v>81</v>
      </c>
      <c r="F75" s="66" t="s">
        <v>175</v>
      </c>
    </row>
    <row r="76" customFormat="false" ht="14.25" hidden="true" customHeight="false" outlineLevel="0" collapsed="false">
      <c r="A76" s="75" t="s">
        <v>22</v>
      </c>
      <c r="B76" s="75" t="s">
        <v>223</v>
      </c>
      <c r="C76" s="75" t="s">
        <v>243</v>
      </c>
      <c r="D76" s="75" t="s">
        <v>261</v>
      </c>
      <c r="E76" s="103" t="n">
        <v>54</v>
      </c>
      <c r="F76" s="75" t="s">
        <v>175</v>
      </c>
    </row>
    <row r="77" customFormat="false" ht="14.25" hidden="true" customHeight="false" outlineLevel="0" collapsed="false">
      <c r="A77" s="66" t="s">
        <v>22</v>
      </c>
      <c r="B77" s="66" t="s">
        <v>223</v>
      </c>
      <c r="C77" s="66" t="s">
        <v>243</v>
      </c>
      <c r="D77" s="66" t="s">
        <v>262</v>
      </c>
      <c r="E77" s="102" t="n">
        <v>81</v>
      </c>
      <c r="F77" s="66" t="s">
        <v>190</v>
      </c>
    </row>
    <row r="78" customFormat="false" ht="14.25" hidden="true" customHeight="false" outlineLevel="0" collapsed="false">
      <c r="A78" s="75" t="s">
        <v>22</v>
      </c>
      <c r="B78" s="75" t="s">
        <v>223</v>
      </c>
      <c r="C78" s="75" t="s">
        <v>243</v>
      </c>
      <c r="D78" s="75" t="s">
        <v>263</v>
      </c>
      <c r="E78" s="103" t="n">
        <v>54</v>
      </c>
      <c r="F78" s="75" t="s">
        <v>190</v>
      </c>
    </row>
    <row r="79" customFormat="false" ht="14.25" hidden="true" customHeight="false" outlineLevel="0" collapsed="false">
      <c r="A79" s="66" t="s">
        <v>22</v>
      </c>
      <c r="B79" s="66" t="s">
        <v>223</v>
      </c>
      <c r="C79" s="66" t="s">
        <v>243</v>
      </c>
      <c r="D79" s="66" t="s">
        <v>264</v>
      </c>
      <c r="E79" s="102" t="n">
        <v>54</v>
      </c>
      <c r="F79" s="66" t="s">
        <v>175</v>
      </c>
    </row>
    <row r="80" customFormat="false" ht="14.25" hidden="true" customHeight="false" outlineLevel="0" collapsed="false">
      <c r="A80" s="75" t="s">
        <v>22</v>
      </c>
      <c r="B80" s="75" t="s">
        <v>223</v>
      </c>
      <c r="C80" s="75" t="s">
        <v>243</v>
      </c>
      <c r="D80" s="75" t="s">
        <v>265</v>
      </c>
      <c r="E80" s="103" t="n">
        <v>54</v>
      </c>
      <c r="F80" s="75" t="s">
        <v>190</v>
      </c>
    </row>
    <row r="81" customFormat="false" ht="14.25" hidden="true" customHeight="false" outlineLevel="0" collapsed="false">
      <c r="A81" s="66" t="s">
        <v>22</v>
      </c>
      <c r="B81" s="66" t="s">
        <v>223</v>
      </c>
      <c r="C81" s="66" t="s">
        <v>243</v>
      </c>
      <c r="D81" s="66" t="s">
        <v>266</v>
      </c>
      <c r="E81" s="102" t="n">
        <v>81</v>
      </c>
      <c r="F81" s="66" t="s">
        <v>175</v>
      </c>
    </row>
    <row r="82" customFormat="false" ht="14.25" hidden="true" customHeight="false" outlineLevel="0" collapsed="false">
      <c r="A82" s="75" t="s">
        <v>22</v>
      </c>
      <c r="B82" s="75" t="s">
        <v>223</v>
      </c>
      <c r="C82" s="75" t="s">
        <v>243</v>
      </c>
      <c r="D82" s="75" t="s">
        <v>267</v>
      </c>
      <c r="E82" s="103" t="n">
        <v>97.2</v>
      </c>
      <c r="F82" s="75" t="s">
        <v>190</v>
      </c>
    </row>
    <row r="83" customFormat="false" ht="14.25" hidden="true" customHeight="false" outlineLevel="0" collapsed="false">
      <c r="A83" s="66" t="s">
        <v>22</v>
      </c>
      <c r="B83" s="66" t="s">
        <v>223</v>
      </c>
      <c r="C83" s="66" t="s">
        <v>243</v>
      </c>
      <c r="D83" s="66" t="s">
        <v>268</v>
      </c>
      <c r="E83" s="102" t="n">
        <v>30</v>
      </c>
      <c r="F83" s="66" t="s">
        <v>177</v>
      </c>
    </row>
    <row r="84" customFormat="false" ht="14.25" hidden="true" customHeight="false" outlineLevel="0" collapsed="false">
      <c r="A84" s="75" t="s">
        <v>38</v>
      </c>
      <c r="B84" s="75" t="s">
        <v>269</v>
      </c>
      <c r="C84" s="75" t="s">
        <v>270</v>
      </c>
      <c r="D84" s="75" t="s">
        <v>271</v>
      </c>
      <c r="E84" s="103" t="n">
        <v>30</v>
      </c>
      <c r="F84" s="75" t="s">
        <v>177</v>
      </c>
    </row>
    <row r="85" customFormat="false" ht="14.25" hidden="true" customHeight="false" outlineLevel="0" collapsed="false">
      <c r="A85" s="66" t="s">
        <v>38</v>
      </c>
      <c r="B85" s="66" t="s">
        <v>269</v>
      </c>
      <c r="C85" s="66" t="s">
        <v>270</v>
      </c>
      <c r="D85" s="66" t="s">
        <v>272</v>
      </c>
      <c r="E85" s="102" t="n">
        <v>54</v>
      </c>
      <c r="F85" s="66" t="s">
        <v>175</v>
      </c>
    </row>
    <row r="86" customFormat="false" ht="14.25" hidden="true" customHeight="false" outlineLevel="0" collapsed="false">
      <c r="A86" s="75" t="s">
        <v>38</v>
      </c>
      <c r="B86" s="75" t="s">
        <v>269</v>
      </c>
      <c r="C86" s="75" t="s">
        <v>270</v>
      </c>
      <c r="D86" s="75" t="s">
        <v>273</v>
      </c>
      <c r="E86" s="103" t="n">
        <v>32.4</v>
      </c>
      <c r="F86" s="75" t="s">
        <v>190</v>
      </c>
    </row>
    <row r="87" customFormat="false" ht="14.25" hidden="true" customHeight="false" outlineLevel="0" collapsed="false">
      <c r="A87" s="66" t="s">
        <v>38</v>
      </c>
      <c r="B87" s="66" t="s">
        <v>269</v>
      </c>
      <c r="C87" s="66" t="s">
        <v>270</v>
      </c>
      <c r="D87" s="66" t="s">
        <v>274</v>
      </c>
      <c r="E87" s="102" t="n">
        <v>32.4</v>
      </c>
      <c r="F87" s="66" t="s">
        <v>175</v>
      </c>
    </row>
    <row r="88" customFormat="false" ht="14.25" hidden="true" customHeight="false" outlineLevel="0" collapsed="false">
      <c r="A88" s="75" t="s">
        <v>38</v>
      </c>
      <c r="B88" s="75" t="s">
        <v>269</v>
      </c>
      <c r="C88" s="75" t="s">
        <v>270</v>
      </c>
      <c r="D88" s="75" t="s">
        <v>275</v>
      </c>
      <c r="E88" s="103" t="n">
        <v>32.4</v>
      </c>
      <c r="F88" s="75" t="s">
        <v>175</v>
      </c>
    </row>
    <row r="89" customFormat="false" ht="14.25" hidden="true" customHeight="false" outlineLevel="0" collapsed="false">
      <c r="A89" s="66" t="s">
        <v>38</v>
      </c>
      <c r="B89" s="66" t="s">
        <v>269</v>
      </c>
      <c r="C89" s="66" t="s">
        <v>270</v>
      </c>
      <c r="D89" s="66" t="s">
        <v>276</v>
      </c>
      <c r="E89" s="102" t="n">
        <v>81</v>
      </c>
      <c r="F89" s="66" t="s">
        <v>190</v>
      </c>
    </row>
    <row r="90" customFormat="false" ht="14.25" hidden="true" customHeight="false" outlineLevel="0" collapsed="false">
      <c r="A90" s="75" t="s">
        <v>38</v>
      </c>
      <c r="B90" s="75" t="s">
        <v>269</v>
      </c>
      <c r="C90" s="75" t="s">
        <v>270</v>
      </c>
      <c r="D90" s="75" t="s">
        <v>277</v>
      </c>
      <c r="E90" s="103" t="n">
        <v>21.6</v>
      </c>
      <c r="F90" s="75" t="s">
        <v>190</v>
      </c>
    </row>
    <row r="91" customFormat="false" ht="14.25" hidden="true" customHeight="false" outlineLevel="0" collapsed="false">
      <c r="A91" s="66" t="s">
        <v>38</v>
      </c>
      <c r="B91" s="66" t="s">
        <v>269</v>
      </c>
      <c r="C91" s="66" t="s">
        <v>270</v>
      </c>
      <c r="D91" s="66" t="s">
        <v>278</v>
      </c>
      <c r="E91" s="102" t="n">
        <v>32.4</v>
      </c>
      <c r="F91" s="66" t="s">
        <v>190</v>
      </c>
    </row>
    <row r="92" customFormat="false" ht="14.25" hidden="true" customHeight="false" outlineLevel="0" collapsed="false">
      <c r="A92" s="75" t="s">
        <v>38</v>
      </c>
      <c r="B92" s="75" t="s">
        <v>269</v>
      </c>
      <c r="C92" s="75" t="s">
        <v>270</v>
      </c>
      <c r="D92" s="75" t="s">
        <v>279</v>
      </c>
      <c r="E92" s="103" t="n">
        <v>32.4</v>
      </c>
      <c r="F92" s="75" t="s">
        <v>190</v>
      </c>
    </row>
    <row r="93" customFormat="false" ht="14.25" hidden="true" customHeight="false" outlineLevel="0" collapsed="false">
      <c r="A93" s="66" t="s">
        <v>38</v>
      </c>
      <c r="B93" s="66" t="s">
        <v>269</v>
      </c>
      <c r="C93" s="66" t="s">
        <v>270</v>
      </c>
      <c r="D93" s="66" t="s">
        <v>280</v>
      </c>
      <c r="E93" s="102" t="n">
        <v>50</v>
      </c>
      <c r="F93" s="66" t="s">
        <v>177</v>
      </c>
    </row>
    <row r="94" customFormat="false" ht="14.25" hidden="true" customHeight="false" outlineLevel="0" collapsed="false">
      <c r="A94" s="75" t="s">
        <v>38</v>
      </c>
      <c r="B94" s="75" t="s">
        <v>269</v>
      </c>
      <c r="C94" s="75" t="s">
        <v>270</v>
      </c>
      <c r="D94" s="75" t="s">
        <v>281</v>
      </c>
      <c r="E94" s="103" t="n">
        <v>32.4</v>
      </c>
      <c r="F94" s="75" t="s">
        <v>175</v>
      </c>
    </row>
    <row r="95" customFormat="false" ht="14.25" hidden="true" customHeight="false" outlineLevel="0" collapsed="false">
      <c r="A95" s="66" t="s">
        <v>38</v>
      </c>
      <c r="B95" s="66" t="s">
        <v>269</v>
      </c>
      <c r="C95" s="66" t="s">
        <v>270</v>
      </c>
      <c r="D95" s="66" t="s">
        <v>282</v>
      </c>
      <c r="E95" s="102" t="n">
        <v>21.6</v>
      </c>
      <c r="F95" s="66" t="s">
        <v>175</v>
      </c>
    </row>
    <row r="96" customFormat="false" ht="14.25" hidden="true" customHeight="false" outlineLevel="0" collapsed="false">
      <c r="A96" s="75" t="s">
        <v>38</v>
      </c>
      <c r="B96" s="75" t="s">
        <v>269</v>
      </c>
      <c r="C96" s="75" t="s">
        <v>270</v>
      </c>
      <c r="D96" s="75" t="s">
        <v>283</v>
      </c>
      <c r="E96" s="103" t="n">
        <v>30</v>
      </c>
      <c r="F96" s="75" t="s">
        <v>177</v>
      </c>
    </row>
    <row r="97" customFormat="false" ht="14.25" hidden="true" customHeight="false" outlineLevel="0" collapsed="false">
      <c r="A97" s="66" t="s">
        <v>38</v>
      </c>
      <c r="B97" s="66" t="s">
        <v>269</v>
      </c>
      <c r="C97" s="66" t="s">
        <v>270</v>
      </c>
      <c r="D97" s="66" t="s">
        <v>284</v>
      </c>
      <c r="E97" s="102" t="n">
        <v>30</v>
      </c>
      <c r="F97" s="66" t="s">
        <v>177</v>
      </c>
    </row>
    <row r="98" customFormat="false" ht="14.25" hidden="true" customHeight="false" outlineLevel="0" collapsed="false">
      <c r="A98" s="75" t="s">
        <v>38</v>
      </c>
      <c r="B98" s="75" t="s">
        <v>269</v>
      </c>
      <c r="C98" s="75" t="s">
        <v>270</v>
      </c>
      <c r="D98" s="75" t="s">
        <v>285</v>
      </c>
      <c r="E98" s="103" t="n">
        <v>80</v>
      </c>
      <c r="F98" s="75" t="s">
        <v>177</v>
      </c>
    </row>
    <row r="99" customFormat="false" ht="14.25" hidden="true" customHeight="false" outlineLevel="0" collapsed="false">
      <c r="A99" s="66" t="s">
        <v>38</v>
      </c>
      <c r="B99" s="66" t="s">
        <v>269</v>
      </c>
      <c r="C99" s="66" t="s">
        <v>270</v>
      </c>
      <c r="D99" s="66" t="s">
        <v>286</v>
      </c>
      <c r="E99" s="102" t="n">
        <v>54</v>
      </c>
      <c r="F99" s="66" t="s">
        <v>190</v>
      </c>
    </row>
    <row r="100" customFormat="false" ht="14.25" hidden="true" customHeight="false" outlineLevel="0" collapsed="false">
      <c r="A100" s="75" t="s">
        <v>38</v>
      </c>
      <c r="B100" s="75" t="s">
        <v>269</v>
      </c>
      <c r="C100" s="75" t="s">
        <v>287</v>
      </c>
      <c r="D100" s="75" t="s">
        <v>288</v>
      </c>
      <c r="E100" s="103" t="n">
        <v>32.4</v>
      </c>
      <c r="F100" s="75" t="s">
        <v>190</v>
      </c>
    </row>
    <row r="101" customFormat="false" ht="14.25" hidden="true" customHeight="false" outlineLevel="0" collapsed="false">
      <c r="A101" s="66" t="s">
        <v>38</v>
      </c>
      <c r="B101" s="66" t="s">
        <v>269</v>
      </c>
      <c r="C101" s="66" t="s">
        <v>287</v>
      </c>
      <c r="D101" s="66" t="s">
        <v>289</v>
      </c>
      <c r="E101" s="102" t="n">
        <v>50</v>
      </c>
      <c r="F101" s="66" t="s">
        <v>177</v>
      </c>
    </row>
    <row r="102" customFormat="false" ht="14.25" hidden="true" customHeight="false" outlineLevel="0" collapsed="false">
      <c r="A102" s="75" t="s">
        <v>38</v>
      </c>
      <c r="B102" s="75" t="s">
        <v>269</v>
      </c>
      <c r="C102" s="75" t="s">
        <v>287</v>
      </c>
      <c r="D102" s="75" t="s">
        <v>290</v>
      </c>
      <c r="E102" s="103" t="n">
        <v>97.2</v>
      </c>
      <c r="F102" s="75" t="s">
        <v>190</v>
      </c>
    </row>
    <row r="103" customFormat="false" ht="14.25" hidden="true" customHeight="false" outlineLevel="0" collapsed="false">
      <c r="A103" s="66" t="s">
        <v>38</v>
      </c>
      <c r="B103" s="66" t="s">
        <v>53</v>
      </c>
      <c r="C103" s="66" t="s">
        <v>291</v>
      </c>
      <c r="D103" s="66" t="s">
        <v>292</v>
      </c>
      <c r="E103" s="102" t="n">
        <v>50</v>
      </c>
      <c r="F103" s="66" t="s">
        <v>177</v>
      </c>
    </row>
    <row r="104" customFormat="false" ht="14.25" hidden="true" customHeight="false" outlineLevel="0" collapsed="false">
      <c r="A104" s="75" t="s">
        <v>38</v>
      </c>
      <c r="B104" s="75" t="s">
        <v>53</v>
      </c>
      <c r="C104" s="75" t="s">
        <v>293</v>
      </c>
      <c r="D104" s="75" t="s">
        <v>294</v>
      </c>
      <c r="E104" s="103" t="n">
        <v>140.4</v>
      </c>
      <c r="F104" s="75" t="s">
        <v>190</v>
      </c>
    </row>
    <row r="105" customFormat="false" ht="14.25" hidden="true" customHeight="false" outlineLevel="0" collapsed="false">
      <c r="A105" s="66" t="s">
        <v>38</v>
      </c>
      <c r="B105" s="66" t="s">
        <v>53</v>
      </c>
      <c r="C105" s="66" t="s">
        <v>293</v>
      </c>
      <c r="D105" s="66" t="s">
        <v>295</v>
      </c>
      <c r="E105" s="102" t="n">
        <v>21.6</v>
      </c>
      <c r="F105" s="66" t="s">
        <v>190</v>
      </c>
    </row>
    <row r="106" customFormat="false" ht="14.25" hidden="true" customHeight="false" outlineLevel="0" collapsed="false">
      <c r="A106" s="75" t="s">
        <v>38</v>
      </c>
      <c r="B106" s="75" t="s">
        <v>53</v>
      </c>
      <c r="C106" s="75" t="s">
        <v>293</v>
      </c>
      <c r="D106" s="75" t="s">
        <v>296</v>
      </c>
      <c r="E106" s="103" t="n">
        <v>80</v>
      </c>
      <c r="F106" s="75" t="s">
        <v>177</v>
      </c>
    </row>
    <row r="107" customFormat="false" ht="14.25" hidden="true" customHeight="false" outlineLevel="0" collapsed="false">
      <c r="A107" s="66" t="s">
        <v>38</v>
      </c>
      <c r="B107" s="66" t="s">
        <v>53</v>
      </c>
      <c r="C107" s="66" t="s">
        <v>293</v>
      </c>
      <c r="D107" s="66" t="s">
        <v>297</v>
      </c>
      <c r="E107" s="102" t="n">
        <v>54</v>
      </c>
      <c r="F107" s="66" t="s">
        <v>190</v>
      </c>
    </row>
    <row r="108" customFormat="false" ht="14.25" hidden="true" customHeight="false" outlineLevel="0" collapsed="false">
      <c r="A108" s="75" t="s">
        <v>38</v>
      </c>
      <c r="B108" s="75" t="s">
        <v>53</v>
      </c>
      <c r="C108" s="75" t="s">
        <v>293</v>
      </c>
      <c r="D108" s="75" t="s">
        <v>298</v>
      </c>
      <c r="E108" s="103" t="n">
        <v>54</v>
      </c>
      <c r="F108" s="75" t="s">
        <v>175</v>
      </c>
    </row>
    <row r="109" customFormat="false" ht="14.25" hidden="true" customHeight="false" outlineLevel="0" collapsed="false">
      <c r="A109" s="66" t="s">
        <v>38</v>
      </c>
      <c r="B109" s="66" t="s">
        <v>53</v>
      </c>
      <c r="C109" s="66" t="s">
        <v>293</v>
      </c>
      <c r="D109" s="66" t="s">
        <v>299</v>
      </c>
      <c r="E109" s="102" t="n">
        <v>54</v>
      </c>
      <c r="F109" s="66" t="s">
        <v>190</v>
      </c>
    </row>
    <row r="110" customFormat="false" ht="14.25" hidden="true" customHeight="false" outlineLevel="0" collapsed="false">
      <c r="A110" s="75" t="s">
        <v>38</v>
      </c>
      <c r="B110" s="75" t="s">
        <v>53</v>
      </c>
      <c r="C110" s="75" t="s">
        <v>300</v>
      </c>
      <c r="D110" s="75" t="s">
        <v>301</v>
      </c>
      <c r="E110" s="103" t="n">
        <v>54</v>
      </c>
      <c r="F110" s="75" t="s">
        <v>175</v>
      </c>
    </row>
    <row r="111" customFormat="false" ht="14.25" hidden="true" customHeight="false" outlineLevel="0" collapsed="false">
      <c r="A111" s="66" t="s">
        <v>38</v>
      </c>
      <c r="B111" s="66" t="s">
        <v>53</v>
      </c>
      <c r="C111" s="66" t="s">
        <v>300</v>
      </c>
      <c r="D111" s="66" t="s">
        <v>302</v>
      </c>
      <c r="E111" s="102" t="n">
        <v>81</v>
      </c>
      <c r="F111" s="66" t="s">
        <v>190</v>
      </c>
    </row>
    <row r="112" customFormat="false" ht="14.25" hidden="true" customHeight="false" outlineLevel="0" collapsed="false">
      <c r="A112" s="75" t="s">
        <v>38</v>
      </c>
      <c r="B112" s="75" t="s">
        <v>53</v>
      </c>
      <c r="C112" s="75" t="s">
        <v>300</v>
      </c>
      <c r="D112" s="75" t="s">
        <v>303</v>
      </c>
      <c r="E112" s="103" t="n">
        <v>32.4</v>
      </c>
      <c r="F112" s="75" t="s">
        <v>190</v>
      </c>
    </row>
    <row r="113" customFormat="false" ht="14.25" hidden="true" customHeight="false" outlineLevel="0" collapsed="false">
      <c r="A113" s="66" t="s">
        <v>38</v>
      </c>
      <c r="B113" s="66" t="s">
        <v>53</v>
      </c>
      <c r="C113" s="66" t="s">
        <v>300</v>
      </c>
      <c r="D113" s="66" t="s">
        <v>304</v>
      </c>
      <c r="E113" s="102" t="n">
        <v>32.4</v>
      </c>
      <c r="F113" s="66" t="s">
        <v>190</v>
      </c>
    </row>
    <row r="114" customFormat="false" ht="14.25" hidden="true" customHeight="false" outlineLevel="0" collapsed="false">
      <c r="A114" s="75" t="s">
        <v>38</v>
      </c>
      <c r="B114" s="75" t="s">
        <v>53</v>
      </c>
      <c r="C114" s="75" t="s">
        <v>300</v>
      </c>
      <c r="D114" s="75" t="s">
        <v>305</v>
      </c>
      <c r="E114" s="103" t="n">
        <v>80</v>
      </c>
      <c r="F114" s="75" t="s">
        <v>177</v>
      </c>
    </row>
    <row r="115" customFormat="false" ht="14.25" hidden="true" customHeight="false" outlineLevel="0" collapsed="false">
      <c r="A115" s="66" t="s">
        <v>38</v>
      </c>
      <c r="B115" s="66" t="s">
        <v>53</v>
      </c>
      <c r="C115" s="66" t="s">
        <v>300</v>
      </c>
      <c r="D115" s="66" t="s">
        <v>306</v>
      </c>
      <c r="E115" s="102" t="n">
        <v>32.4</v>
      </c>
      <c r="F115" s="66" t="s">
        <v>190</v>
      </c>
    </row>
    <row r="116" customFormat="false" ht="14.25" hidden="true" customHeight="false" outlineLevel="0" collapsed="false">
      <c r="A116" s="75" t="s">
        <v>38</v>
      </c>
      <c r="B116" s="75" t="s">
        <v>53</v>
      </c>
      <c r="C116" s="75" t="s">
        <v>300</v>
      </c>
      <c r="D116" s="75" t="s">
        <v>307</v>
      </c>
      <c r="E116" s="103" t="n">
        <v>100</v>
      </c>
      <c r="F116" s="75" t="s">
        <v>177</v>
      </c>
    </row>
    <row r="117" customFormat="false" ht="14.25" hidden="true" customHeight="false" outlineLevel="0" collapsed="false">
      <c r="A117" s="66" t="s">
        <v>38</v>
      </c>
      <c r="B117" s="66" t="s">
        <v>53</v>
      </c>
      <c r="C117" s="66" t="s">
        <v>300</v>
      </c>
      <c r="D117" s="66" t="s">
        <v>308</v>
      </c>
      <c r="E117" s="102" t="n">
        <v>140.4</v>
      </c>
      <c r="F117" s="66" t="s">
        <v>190</v>
      </c>
    </row>
    <row r="118" customFormat="false" ht="14.25" hidden="true" customHeight="false" outlineLevel="0" collapsed="false">
      <c r="A118" s="75" t="s">
        <v>38</v>
      </c>
      <c r="B118" s="75" t="s">
        <v>53</v>
      </c>
      <c r="C118" s="75" t="s">
        <v>300</v>
      </c>
      <c r="D118" s="75" t="s">
        <v>309</v>
      </c>
      <c r="E118" s="103" t="n">
        <v>32.4</v>
      </c>
      <c r="F118" s="75" t="s">
        <v>175</v>
      </c>
    </row>
    <row r="119" customFormat="false" ht="14.25" hidden="true" customHeight="false" outlineLevel="0" collapsed="false">
      <c r="A119" s="66" t="s">
        <v>38</v>
      </c>
      <c r="B119" s="66" t="s">
        <v>53</v>
      </c>
      <c r="C119" s="66" t="s">
        <v>300</v>
      </c>
      <c r="D119" s="66" t="s">
        <v>310</v>
      </c>
      <c r="E119" s="102" t="n">
        <v>54</v>
      </c>
      <c r="F119" s="66" t="s">
        <v>190</v>
      </c>
    </row>
    <row r="120" customFormat="false" ht="14.25" hidden="true" customHeight="false" outlineLevel="0" collapsed="false">
      <c r="A120" s="75" t="s">
        <v>38</v>
      </c>
      <c r="B120" s="75" t="s">
        <v>53</v>
      </c>
      <c r="C120" s="75" t="s">
        <v>300</v>
      </c>
      <c r="D120" s="75" t="s">
        <v>311</v>
      </c>
      <c r="E120" s="103" t="n">
        <v>54</v>
      </c>
      <c r="F120" s="75" t="s">
        <v>190</v>
      </c>
    </row>
    <row r="121" customFormat="false" ht="14.25" hidden="true" customHeight="false" outlineLevel="0" collapsed="false">
      <c r="A121" s="66" t="s">
        <v>38</v>
      </c>
      <c r="B121" s="66" t="s">
        <v>53</v>
      </c>
      <c r="C121" s="66" t="s">
        <v>300</v>
      </c>
      <c r="D121" s="66" t="s">
        <v>312</v>
      </c>
      <c r="E121" s="102" t="n">
        <v>97.2</v>
      </c>
      <c r="F121" s="66" t="s">
        <v>175</v>
      </c>
    </row>
    <row r="122" customFormat="false" ht="14.25" hidden="true" customHeight="false" outlineLevel="0" collapsed="false">
      <c r="A122" s="75" t="s">
        <v>38</v>
      </c>
      <c r="B122" s="75" t="s">
        <v>53</v>
      </c>
      <c r="C122" s="75" t="s">
        <v>300</v>
      </c>
      <c r="D122" s="75" t="s">
        <v>313</v>
      </c>
      <c r="E122" s="103" t="n">
        <v>80</v>
      </c>
      <c r="F122" s="75" t="s">
        <v>177</v>
      </c>
    </row>
    <row r="123" customFormat="false" ht="14.25" hidden="true" customHeight="false" outlineLevel="0" collapsed="false">
      <c r="A123" s="66" t="s">
        <v>38</v>
      </c>
      <c r="B123" s="66" t="s">
        <v>53</v>
      </c>
      <c r="C123" s="66" t="s">
        <v>300</v>
      </c>
      <c r="D123" s="66" t="s">
        <v>314</v>
      </c>
      <c r="E123" s="102" t="n">
        <v>81</v>
      </c>
      <c r="F123" s="66" t="s">
        <v>175</v>
      </c>
    </row>
    <row r="124" customFormat="false" ht="14.25" hidden="true" customHeight="false" outlineLevel="0" collapsed="false">
      <c r="A124" s="75" t="s">
        <v>38</v>
      </c>
      <c r="B124" s="75" t="s">
        <v>53</v>
      </c>
      <c r="C124" s="75" t="s">
        <v>300</v>
      </c>
      <c r="D124" s="75" t="s">
        <v>315</v>
      </c>
      <c r="E124" s="103" t="n">
        <v>32.4</v>
      </c>
      <c r="F124" s="75" t="s">
        <v>175</v>
      </c>
    </row>
    <row r="125" customFormat="false" ht="14.25" hidden="true" customHeight="false" outlineLevel="0" collapsed="false">
      <c r="A125" s="66" t="s">
        <v>38</v>
      </c>
      <c r="B125" s="66" t="s">
        <v>53</v>
      </c>
      <c r="C125" s="66" t="s">
        <v>300</v>
      </c>
      <c r="D125" s="66" t="s">
        <v>316</v>
      </c>
      <c r="E125" s="102" t="n">
        <v>100</v>
      </c>
      <c r="F125" s="66" t="s">
        <v>177</v>
      </c>
    </row>
    <row r="126" customFormat="false" ht="14.25" hidden="true" customHeight="false" outlineLevel="0" collapsed="false">
      <c r="A126" s="75" t="s">
        <v>38</v>
      </c>
      <c r="B126" s="75" t="s">
        <v>53</v>
      </c>
      <c r="C126" s="75" t="s">
        <v>300</v>
      </c>
      <c r="D126" s="75" t="s">
        <v>317</v>
      </c>
      <c r="E126" s="103" t="n">
        <v>50</v>
      </c>
      <c r="F126" s="75" t="s">
        <v>177</v>
      </c>
    </row>
    <row r="127" customFormat="false" ht="14.25" hidden="true" customHeight="false" outlineLevel="0" collapsed="false">
      <c r="A127" s="66" t="s">
        <v>38</v>
      </c>
      <c r="B127" s="66" t="s">
        <v>53</v>
      </c>
      <c r="C127" s="66" t="s">
        <v>300</v>
      </c>
      <c r="D127" s="66" t="s">
        <v>318</v>
      </c>
      <c r="E127" s="102" t="n">
        <v>21.6</v>
      </c>
      <c r="F127" s="66" t="s">
        <v>190</v>
      </c>
    </row>
    <row r="128" customFormat="false" ht="14.25" hidden="true" customHeight="false" outlineLevel="0" collapsed="false">
      <c r="A128" s="75" t="s">
        <v>38</v>
      </c>
      <c r="B128" s="75" t="s">
        <v>53</v>
      </c>
      <c r="C128" s="75" t="s">
        <v>300</v>
      </c>
      <c r="D128" s="75" t="s">
        <v>319</v>
      </c>
      <c r="E128" s="103" t="n">
        <v>54</v>
      </c>
      <c r="F128" s="75" t="s">
        <v>190</v>
      </c>
    </row>
    <row r="129" customFormat="false" ht="14.25" hidden="true" customHeight="false" outlineLevel="0" collapsed="false">
      <c r="A129" s="66" t="s">
        <v>38</v>
      </c>
      <c r="B129" s="66" t="s">
        <v>53</v>
      </c>
      <c r="C129" s="66" t="s">
        <v>300</v>
      </c>
      <c r="D129" s="66" t="s">
        <v>320</v>
      </c>
      <c r="E129" s="102" t="n">
        <v>54</v>
      </c>
      <c r="F129" s="66" t="s">
        <v>175</v>
      </c>
    </row>
    <row r="130" customFormat="false" ht="14.25" hidden="true" customHeight="false" outlineLevel="0" collapsed="false">
      <c r="A130" s="75" t="s">
        <v>38</v>
      </c>
      <c r="B130" s="75" t="s">
        <v>53</v>
      </c>
      <c r="C130" s="75" t="s">
        <v>300</v>
      </c>
      <c r="D130" s="75" t="s">
        <v>321</v>
      </c>
      <c r="E130" s="103" t="n">
        <v>32.4</v>
      </c>
      <c r="F130" s="75" t="s">
        <v>190</v>
      </c>
    </row>
    <row r="131" customFormat="false" ht="14.25" hidden="true" customHeight="false" outlineLevel="0" collapsed="false">
      <c r="A131" s="66" t="s">
        <v>38</v>
      </c>
      <c r="B131" s="66" t="s">
        <v>53</v>
      </c>
      <c r="C131" s="66" t="s">
        <v>322</v>
      </c>
      <c r="D131" s="66" t="s">
        <v>323</v>
      </c>
      <c r="E131" s="102" t="n">
        <v>54</v>
      </c>
      <c r="F131" s="66" t="s">
        <v>175</v>
      </c>
    </row>
    <row r="132" customFormat="false" ht="14.25" hidden="true" customHeight="false" outlineLevel="0" collapsed="false">
      <c r="A132" s="75" t="s">
        <v>38</v>
      </c>
      <c r="B132" s="75" t="s">
        <v>53</v>
      </c>
      <c r="C132" s="75" t="s">
        <v>322</v>
      </c>
      <c r="D132" s="75" t="s">
        <v>324</v>
      </c>
      <c r="E132" s="103" t="n">
        <v>80</v>
      </c>
      <c r="F132" s="75" t="s">
        <v>177</v>
      </c>
    </row>
    <row r="133" customFormat="false" ht="14.25" hidden="true" customHeight="false" outlineLevel="0" collapsed="false">
      <c r="A133" s="66" t="s">
        <v>38</v>
      </c>
      <c r="B133" s="66" t="s">
        <v>53</v>
      </c>
      <c r="C133" s="66" t="s">
        <v>322</v>
      </c>
      <c r="D133" s="66" t="s">
        <v>325</v>
      </c>
      <c r="E133" s="102" t="n">
        <v>80</v>
      </c>
      <c r="F133" s="66" t="s">
        <v>177</v>
      </c>
    </row>
    <row r="134" customFormat="false" ht="14.25" hidden="true" customHeight="false" outlineLevel="0" collapsed="false">
      <c r="A134" s="75" t="s">
        <v>38</v>
      </c>
      <c r="B134" s="75" t="s">
        <v>53</v>
      </c>
      <c r="C134" s="75" t="s">
        <v>322</v>
      </c>
      <c r="D134" s="75" t="s">
        <v>326</v>
      </c>
      <c r="E134" s="103" t="n">
        <v>80</v>
      </c>
      <c r="F134" s="75" t="s">
        <v>177</v>
      </c>
    </row>
    <row r="135" customFormat="false" ht="14.25" hidden="true" customHeight="false" outlineLevel="0" collapsed="false">
      <c r="A135" s="66" t="s">
        <v>38</v>
      </c>
      <c r="B135" s="66" t="s">
        <v>53</v>
      </c>
      <c r="C135" s="66" t="s">
        <v>322</v>
      </c>
      <c r="D135" s="66" t="s">
        <v>327</v>
      </c>
      <c r="E135" s="102" t="n">
        <v>183.6</v>
      </c>
      <c r="F135" s="66" t="s">
        <v>190</v>
      </c>
    </row>
    <row r="136" customFormat="false" ht="14.25" hidden="true" customHeight="false" outlineLevel="0" collapsed="false">
      <c r="A136" s="75" t="s">
        <v>38</v>
      </c>
      <c r="B136" s="75" t="s">
        <v>53</v>
      </c>
      <c r="C136" s="75" t="s">
        <v>322</v>
      </c>
      <c r="D136" s="75" t="s">
        <v>328</v>
      </c>
      <c r="E136" s="103" t="n">
        <v>97.2</v>
      </c>
      <c r="F136" s="75" t="s">
        <v>190</v>
      </c>
    </row>
    <row r="137" customFormat="false" ht="14.25" hidden="true" customHeight="false" outlineLevel="0" collapsed="false">
      <c r="A137" s="66" t="s">
        <v>38</v>
      </c>
      <c r="B137" s="66" t="s">
        <v>53</v>
      </c>
      <c r="C137" s="66" t="s">
        <v>322</v>
      </c>
      <c r="D137" s="66" t="s">
        <v>329</v>
      </c>
      <c r="E137" s="102" t="n">
        <v>140.4</v>
      </c>
      <c r="F137" s="66" t="s">
        <v>190</v>
      </c>
    </row>
    <row r="138" customFormat="false" ht="14.25" hidden="true" customHeight="false" outlineLevel="0" collapsed="false">
      <c r="A138" s="75" t="s">
        <v>38</v>
      </c>
      <c r="B138" s="75" t="s">
        <v>53</v>
      </c>
      <c r="C138" s="75" t="s">
        <v>322</v>
      </c>
      <c r="D138" s="75" t="s">
        <v>330</v>
      </c>
      <c r="E138" s="103" t="n">
        <v>97.2</v>
      </c>
      <c r="F138" s="75" t="s">
        <v>190</v>
      </c>
    </row>
    <row r="139" customFormat="false" ht="14.25" hidden="true" customHeight="false" outlineLevel="0" collapsed="false">
      <c r="A139" s="66" t="s">
        <v>38</v>
      </c>
      <c r="B139" s="66" t="s">
        <v>53</v>
      </c>
      <c r="C139" s="66" t="s">
        <v>322</v>
      </c>
      <c r="D139" s="66" t="s">
        <v>331</v>
      </c>
      <c r="E139" s="102" t="n">
        <v>81</v>
      </c>
      <c r="F139" s="66" t="s">
        <v>175</v>
      </c>
    </row>
    <row r="140" customFormat="false" ht="14.25" hidden="true" customHeight="false" outlineLevel="0" collapsed="false">
      <c r="A140" s="75" t="s">
        <v>38</v>
      </c>
      <c r="B140" s="75" t="s">
        <v>53</v>
      </c>
      <c r="C140" s="75" t="s">
        <v>332</v>
      </c>
      <c r="D140" s="75" t="s">
        <v>333</v>
      </c>
      <c r="E140" s="103" t="n">
        <v>21.6</v>
      </c>
      <c r="F140" s="75" t="s">
        <v>190</v>
      </c>
    </row>
    <row r="141" customFormat="false" ht="14.25" hidden="true" customHeight="false" outlineLevel="0" collapsed="false">
      <c r="A141" s="66" t="s">
        <v>38</v>
      </c>
      <c r="B141" s="66" t="s">
        <v>53</v>
      </c>
      <c r="C141" s="66" t="s">
        <v>332</v>
      </c>
      <c r="D141" s="66" t="s">
        <v>334</v>
      </c>
      <c r="E141" s="102" t="n">
        <v>32.4</v>
      </c>
      <c r="F141" s="66" t="s">
        <v>175</v>
      </c>
    </row>
    <row r="142" customFormat="false" ht="14.25" hidden="true" customHeight="false" outlineLevel="0" collapsed="false">
      <c r="A142" s="75" t="s">
        <v>38</v>
      </c>
      <c r="B142" s="75" t="s">
        <v>53</v>
      </c>
      <c r="C142" s="75" t="s">
        <v>332</v>
      </c>
      <c r="D142" s="75" t="s">
        <v>335</v>
      </c>
      <c r="E142" s="103" t="n">
        <v>140.4</v>
      </c>
      <c r="F142" s="75" t="s">
        <v>190</v>
      </c>
    </row>
    <row r="143" customFormat="false" ht="14.25" hidden="true" customHeight="false" outlineLevel="0" collapsed="false">
      <c r="A143" s="66" t="s">
        <v>38</v>
      </c>
      <c r="B143" s="66" t="s">
        <v>53</v>
      </c>
      <c r="C143" s="66" t="s">
        <v>332</v>
      </c>
      <c r="D143" s="66" t="s">
        <v>336</v>
      </c>
      <c r="E143" s="102" t="n">
        <v>54</v>
      </c>
      <c r="F143" s="66" t="s">
        <v>175</v>
      </c>
    </row>
    <row r="144" customFormat="false" ht="14.25" hidden="true" customHeight="false" outlineLevel="0" collapsed="false">
      <c r="A144" s="75" t="s">
        <v>38</v>
      </c>
      <c r="B144" s="75" t="s">
        <v>53</v>
      </c>
      <c r="C144" s="75" t="s">
        <v>332</v>
      </c>
      <c r="D144" s="75" t="s">
        <v>337</v>
      </c>
      <c r="E144" s="103" t="n">
        <v>30</v>
      </c>
      <c r="F144" s="75" t="s">
        <v>177</v>
      </c>
    </row>
    <row r="145" customFormat="false" ht="14.25" hidden="true" customHeight="false" outlineLevel="0" collapsed="false">
      <c r="A145" s="66" t="s">
        <v>38</v>
      </c>
      <c r="B145" s="66" t="s">
        <v>53</v>
      </c>
      <c r="C145" s="66" t="s">
        <v>332</v>
      </c>
      <c r="D145" s="66" t="s">
        <v>338</v>
      </c>
      <c r="E145" s="102" t="n">
        <v>183.6</v>
      </c>
      <c r="F145" s="66" t="s">
        <v>190</v>
      </c>
    </row>
    <row r="146" customFormat="false" ht="14.25" hidden="true" customHeight="false" outlineLevel="0" collapsed="false">
      <c r="A146" s="75" t="s">
        <v>38</v>
      </c>
      <c r="B146" s="75" t="s">
        <v>53</v>
      </c>
      <c r="C146" s="75" t="s">
        <v>332</v>
      </c>
      <c r="D146" s="75" t="s">
        <v>339</v>
      </c>
      <c r="E146" s="103" t="n">
        <v>32.4</v>
      </c>
      <c r="F146" s="75" t="s">
        <v>190</v>
      </c>
    </row>
    <row r="147" customFormat="false" ht="14.25" hidden="true" customHeight="false" outlineLevel="0" collapsed="false">
      <c r="A147" s="66" t="s">
        <v>38</v>
      </c>
      <c r="B147" s="66" t="s">
        <v>53</v>
      </c>
      <c r="C147" s="66" t="s">
        <v>332</v>
      </c>
      <c r="D147" s="66" t="s">
        <v>340</v>
      </c>
      <c r="E147" s="102" t="n">
        <v>140.4</v>
      </c>
      <c r="F147" s="66" t="s">
        <v>190</v>
      </c>
    </row>
    <row r="148" customFormat="false" ht="14.25" hidden="true" customHeight="false" outlineLevel="0" collapsed="false">
      <c r="A148" s="75" t="s">
        <v>38</v>
      </c>
      <c r="B148" s="75" t="s">
        <v>53</v>
      </c>
      <c r="C148" s="75" t="s">
        <v>332</v>
      </c>
      <c r="D148" s="75" t="s">
        <v>341</v>
      </c>
      <c r="E148" s="103" t="n">
        <v>183.6</v>
      </c>
      <c r="F148" s="75" t="s">
        <v>175</v>
      </c>
    </row>
    <row r="149" customFormat="false" ht="14.25" hidden="true" customHeight="false" outlineLevel="0" collapsed="false">
      <c r="A149" s="66" t="s">
        <v>38</v>
      </c>
      <c r="B149" s="66" t="s">
        <v>53</v>
      </c>
      <c r="C149" s="66" t="s">
        <v>332</v>
      </c>
      <c r="D149" s="66" t="s">
        <v>342</v>
      </c>
      <c r="E149" s="102" t="n">
        <v>32.4</v>
      </c>
      <c r="F149" s="66" t="s">
        <v>190</v>
      </c>
    </row>
    <row r="150" customFormat="false" ht="14.25" hidden="true" customHeight="false" outlineLevel="0" collapsed="false">
      <c r="A150" s="75" t="s">
        <v>38</v>
      </c>
      <c r="B150" s="75" t="s">
        <v>53</v>
      </c>
      <c r="C150" s="75" t="s">
        <v>332</v>
      </c>
      <c r="D150" s="75" t="s">
        <v>343</v>
      </c>
      <c r="E150" s="103" t="n">
        <v>81</v>
      </c>
      <c r="F150" s="75" t="s">
        <v>175</v>
      </c>
    </row>
    <row r="151" customFormat="false" ht="14.25" hidden="true" customHeight="false" outlineLevel="0" collapsed="false">
      <c r="A151" s="66" t="s">
        <v>38</v>
      </c>
      <c r="B151" s="66" t="s">
        <v>53</v>
      </c>
      <c r="C151" s="66" t="s">
        <v>332</v>
      </c>
      <c r="D151" s="66" t="s">
        <v>344</v>
      </c>
      <c r="E151" s="102" t="n">
        <v>97.2</v>
      </c>
      <c r="F151" s="66" t="s">
        <v>190</v>
      </c>
    </row>
    <row r="152" customFormat="false" ht="14.25" hidden="true" customHeight="false" outlineLevel="0" collapsed="false">
      <c r="A152" s="75" t="s">
        <v>40</v>
      </c>
      <c r="B152" s="75" t="s">
        <v>269</v>
      </c>
      <c r="C152" s="75" t="s">
        <v>345</v>
      </c>
      <c r="D152" s="75" t="s">
        <v>346</v>
      </c>
      <c r="E152" s="103" t="n">
        <v>32.4</v>
      </c>
      <c r="F152" s="75" t="s">
        <v>175</v>
      </c>
    </row>
    <row r="153" customFormat="false" ht="14.25" hidden="true" customHeight="false" outlineLevel="0" collapsed="false">
      <c r="A153" s="66" t="s">
        <v>40</v>
      </c>
      <c r="B153" s="66" t="s">
        <v>269</v>
      </c>
      <c r="C153" s="66" t="s">
        <v>345</v>
      </c>
      <c r="D153" s="66" t="s">
        <v>347</v>
      </c>
      <c r="E153" s="102" t="n">
        <v>32.4</v>
      </c>
      <c r="F153" s="66" t="s">
        <v>190</v>
      </c>
    </row>
    <row r="154" customFormat="false" ht="14.25" hidden="true" customHeight="false" outlineLevel="0" collapsed="false">
      <c r="A154" s="75" t="s">
        <v>40</v>
      </c>
      <c r="B154" s="75" t="s">
        <v>269</v>
      </c>
      <c r="C154" s="75" t="s">
        <v>345</v>
      </c>
      <c r="D154" s="75" t="s">
        <v>348</v>
      </c>
      <c r="E154" s="103" t="n">
        <v>97.2</v>
      </c>
      <c r="F154" s="75" t="s">
        <v>190</v>
      </c>
    </row>
    <row r="155" customFormat="false" ht="14.25" hidden="true" customHeight="false" outlineLevel="0" collapsed="false">
      <c r="A155" s="66" t="s">
        <v>40</v>
      </c>
      <c r="B155" s="66" t="s">
        <v>269</v>
      </c>
      <c r="C155" s="66" t="s">
        <v>345</v>
      </c>
      <c r="D155" s="66" t="s">
        <v>349</v>
      </c>
      <c r="E155" s="102" t="n">
        <v>21.6</v>
      </c>
      <c r="F155" s="66" t="s">
        <v>190</v>
      </c>
    </row>
    <row r="156" customFormat="false" ht="14.25" hidden="true" customHeight="false" outlineLevel="0" collapsed="false">
      <c r="A156" s="75" t="s">
        <v>40</v>
      </c>
      <c r="B156" s="75" t="s">
        <v>269</v>
      </c>
      <c r="C156" s="75" t="s">
        <v>345</v>
      </c>
      <c r="D156" s="75" t="s">
        <v>350</v>
      </c>
      <c r="E156" s="103" t="n">
        <v>21.6</v>
      </c>
      <c r="F156" s="75" t="s">
        <v>190</v>
      </c>
    </row>
    <row r="157" customFormat="false" ht="14.25" hidden="true" customHeight="false" outlineLevel="0" collapsed="false">
      <c r="A157" s="66" t="s">
        <v>40</v>
      </c>
      <c r="B157" s="66" t="s">
        <v>269</v>
      </c>
      <c r="C157" s="66" t="s">
        <v>345</v>
      </c>
      <c r="D157" s="66" t="s">
        <v>351</v>
      </c>
      <c r="E157" s="102" t="n">
        <v>32.4</v>
      </c>
      <c r="F157" s="66" t="s">
        <v>190</v>
      </c>
    </row>
    <row r="158" customFormat="false" ht="14.25" hidden="true" customHeight="false" outlineLevel="0" collapsed="false">
      <c r="A158" s="75" t="s">
        <v>40</v>
      </c>
      <c r="B158" s="75" t="s">
        <v>352</v>
      </c>
      <c r="C158" s="75" t="s">
        <v>353</v>
      </c>
      <c r="D158" s="75" t="s">
        <v>354</v>
      </c>
      <c r="E158" s="103" t="n">
        <v>81</v>
      </c>
      <c r="F158" s="75" t="s">
        <v>190</v>
      </c>
    </row>
    <row r="159" customFormat="false" ht="14.25" hidden="true" customHeight="false" outlineLevel="0" collapsed="false">
      <c r="A159" s="66" t="s">
        <v>40</v>
      </c>
      <c r="B159" s="66" t="s">
        <v>352</v>
      </c>
      <c r="C159" s="66" t="s">
        <v>353</v>
      </c>
      <c r="D159" s="66" t="s">
        <v>355</v>
      </c>
      <c r="E159" s="102" t="n">
        <v>50</v>
      </c>
      <c r="F159" s="66" t="s">
        <v>177</v>
      </c>
    </row>
    <row r="160" customFormat="false" ht="14.25" hidden="true" customHeight="false" outlineLevel="0" collapsed="false">
      <c r="A160" s="75" t="s">
        <v>40</v>
      </c>
      <c r="B160" s="75" t="s">
        <v>352</v>
      </c>
      <c r="C160" s="75" t="s">
        <v>353</v>
      </c>
      <c r="D160" s="75" t="s">
        <v>356</v>
      </c>
      <c r="E160" s="103" t="n">
        <v>30</v>
      </c>
      <c r="F160" s="75" t="s">
        <v>177</v>
      </c>
    </row>
    <row r="161" customFormat="false" ht="14.25" hidden="true" customHeight="false" outlineLevel="0" collapsed="false">
      <c r="A161" s="66" t="s">
        <v>40</v>
      </c>
      <c r="B161" s="66" t="s">
        <v>352</v>
      </c>
      <c r="C161" s="66" t="s">
        <v>353</v>
      </c>
      <c r="D161" s="66" t="s">
        <v>357</v>
      </c>
      <c r="E161" s="102" t="n">
        <v>32.4</v>
      </c>
      <c r="F161" s="66" t="s">
        <v>175</v>
      </c>
    </row>
    <row r="162" customFormat="false" ht="14.25" hidden="true" customHeight="false" outlineLevel="0" collapsed="false">
      <c r="A162" s="75" t="s">
        <v>40</v>
      </c>
      <c r="B162" s="75" t="s">
        <v>352</v>
      </c>
      <c r="C162" s="75" t="s">
        <v>353</v>
      </c>
      <c r="D162" s="75" t="s">
        <v>358</v>
      </c>
      <c r="E162" s="103" t="n">
        <v>54</v>
      </c>
      <c r="F162" s="75" t="s">
        <v>190</v>
      </c>
    </row>
    <row r="163" customFormat="false" ht="14.25" hidden="true" customHeight="false" outlineLevel="0" collapsed="false">
      <c r="A163" s="66" t="s">
        <v>40</v>
      </c>
      <c r="B163" s="66" t="s">
        <v>352</v>
      </c>
      <c r="C163" s="66" t="s">
        <v>353</v>
      </c>
      <c r="D163" s="66" t="s">
        <v>359</v>
      </c>
      <c r="E163" s="102" t="n">
        <v>54</v>
      </c>
      <c r="F163" s="66" t="s">
        <v>175</v>
      </c>
    </row>
    <row r="164" customFormat="false" ht="14.25" hidden="true" customHeight="false" outlineLevel="0" collapsed="false">
      <c r="A164" s="75" t="s">
        <v>40</v>
      </c>
      <c r="B164" s="75" t="s">
        <v>352</v>
      </c>
      <c r="C164" s="75" t="s">
        <v>353</v>
      </c>
      <c r="D164" s="75" t="s">
        <v>360</v>
      </c>
      <c r="E164" s="103" t="n">
        <v>21.6</v>
      </c>
      <c r="F164" s="75" t="s">
        <v>175</v>
      </c>
    </row>
    <row r="165" customFormat="false" ht="14.25" hidden="true" customHeight="false" outlineLevel="0" collapsed="false">
      <c r="A165" s="66" t="s">
        <v>40</v>
      </c>
      <c r="B165" s="66" t="s">
        <v>352</v>
      </c>
      <c r="C165" s="66" t="s">
        <v>353</v>
      </c>
      <c r="D165" s="66" t="s">
        <v>361</v>
      </c>
      <c r="E165" s="102" t="n">
        <v>80</v>
      </c>
      <c r="F165" s="66" t="s">
        <v>177</v>
      </c>
    </row>
    <row r="166" customFormat="false" ht="14.25" hidden="true" customHeight="false" outlineLevel="0" collapsed="false">
      <c r="A166" s="75" t="s">
        <v>40</v>
      </c>
      <c r="B166" s="75" t="s">
        <v>352</v>
      </c>
      <c r="C166" s="75" t="s">
        <v>353</v>
      </c>
      <c r="D166" s="75" t="s">
        <v>362</v>
      </c>
      <c r="E166" s="103" t="n">
        <v>80</v>
      </c>
      <c r="F166" s="75" t="s">
        <v>177</v>
      </c>
    </row>
    <row r="167" customFormat="false" ht="14.25" hidden="true" customHeight="false" outlineLevel="0" collapsed="false">
      <c r="A167" s="66" t="s">
        <v>40</v>
      </c>
      <c r="B167" s="66" t="s">
        <v>352</v>
      </c>
      <c r="C167" s="66" t="s">
        <v>353</v>
      </c>
      <c r="D167" s="66" t="s">
        <v>363</v>
      </c>
      <c r="E167" s="102" t="n">
        <v>30</v>
      </c>
      <c r="F167" s="66" t="s">
        <v>177</v>
      </c>
    </row>
    <row r="168" customFormat="false" ht="14.25" hidden="true" customHeight="false" outlineLevel="0" collapsed="false">
      <c r="A168" s="75" t="s">
        <v>40</v>
      </c>
      <c r="B168" s="75" t="s">
        <v>352</v>
      </c>
      <c r="C168" s="75" t="s">
        <v>353</v>
      </c>
      <c r="D168" s="75" t="s">
        <v>364</v>
      </c>
      <c r="E168" s="103" t="n">
        <v>21.6</v>
      </c>
      <c r="F168" s="75" t="s">
        <v>175</v>
      </c>
    </row>
    <row r="169" customFormat="false" ht="14.25" hidden="true" customHeight="false" outlineLevel="0" collapsed="false">
      <c r="A169" s="66" t="s">
        <v>40</v>
      </c>
      <c r="B169" s="66" t="s">
        <v>352</v>
      </c>
      <c r="C169" s="66" t="s">
        <v>353</v>
      </c>
      <c r="D169" s="66" t="s">
        <v>365</v>
      </c>
      <c r="E169" s="102" t="n">
        <v>32.4</v>
      </c>
      <c r="F169" s="66" t="s">
        <v>190</v>
      </c>
    </row>
    <row r="170" customFormat="false" ht="14.25" hidden="true" customHeight="false" outlineLevel="0" collapsed="false">
      <c r="A170" s="75" t="s">
        <v>40</v>
      </c>
      <c r="B170" s="75" t="s">
        <v>352</v>
      </c>
      <c r="C170" s="75" t="s">
        <v>353</v>
      </c>
      <c r="D170" s="75" t="s">
        <v>366</v>
      </c>
      <c r="E170" s="103" t="n">
        <v>100</v>
      </c>
      <c r="F170" s="75" t="s">
        <v>177</v>
      </c>
    </row>
    <row r="171" customFormat="false" ht="14.25" hidden="true" customHeight="false" outlineLevel="0" collapsed="false">
      <c r="A171" s="66" t="s">
        <v>40</v>
      </c>
      <c r="B171" s="66" t="s">
        <v>352</v>
      </c>
      <c r="C171" s="66" t="s">
        <v>353</v>
      </c>
      <c r="D171" s="66" t="s">
        <v>367</v>
      </c>
      <c r="E171" s="102" t="n">
        <v>32.4</v>
      </c>
      <c r="F171" s="66" t="s">
        <v>175</v>
      </c>
    </row>
    <row r="172" customFormat="false" ht="14.25" hidden="true" customHeight="false" outlineLevel="0" collapsed="false">
      <c r="A172" s="75" t="s">
        <v>40</v>
      </c>
      <c r="B172" s="75" t="s">
        <v>352</v>
      </c>
      <c r="C172" s="75" t="s">
        <v>353</v>
      </c>
      <c r="D172" s="75" t="s">
        <v>368</v>
      </c>
      <c r="E172" s="103" t="n">
        <v>30</v>
      </c>
      <c r="F172" s="75" t="s">
        <v>177</v>
      </c>
    </row>
    <row r="173" customFormat="false" ht="14.25" hidden="true" customHeight="false" outlineLevel="0" collapsed="false">
      <c r="A173" s="66" t="s">
        <v>40</v>
      </c>
      <c r="B173" s="66" t="s">
        <v>352</v>
      </c>
      <c r="C173" s="66" t="s">
        <v>353</v>
      </c>
      <c r="D173" s="66" t="s">
        <v>369</v>
      </c>
      <c r="E173" s="102" t="n">
        <v>50</v>
      </c>
      <c r="F173" s="66" t="s">
        <v>177</v>
      </c>
    </row>
    <row r="174" customFormat="false" ht="14.25" hidden="true" customHeight="false" outlineLevel="0" collapsed="false">
      <c r="A174" s="75" t="s">
        <v>40</v>
      </c>
      <c r="B174" s="75" t="s">
        <v>352</v>
      </c>
      <c r="C174" s="75" t="s">
        <v>353</v>
      </c>
      <c r="D174" s="75" t="s">
        <v>370</v>
      </c>
      <c r="E174" s="103" t="n">
        <v>30</v>
      </c>
      <c r="F174" s="75" t="s">
        <v>177</v>
      </c>
    </row>
    <row r="175" customFormat="false" ht="14.25" hidden="true" customHeight="false" outlineLevel="0" collapsed="false">
      <c r="A175" s="66" t="s">
        <v>40</v>
      </c>
      <c r="B175" s="66" t="s">
        <v>352</v>
      </c>
      <c r="C175" s="66" t="s">
        <v>353</v>
      </c>
      <c r="D175" s="66" t="s">
        <v>371</v>
      </c>
      <c r="E175" s="102" t="n">
        <v>32.4</v>
      </c>
      <c r="F175" s="66" t="s">
        <v>175</v>
      </c>
    </row>
    <row r="176" customFormat="false" ht="14.25" hidden="true" customHeight="false" outlineLevel="0" collapsed="false">
      <c r="A176" s="75" t="s">
        <v>40</v>
      </c>
      <c r="B176" s="75" t="s">
        <v>352</v>
      </c>
      <c r="C176" s="75" t="s">
        <v>353</v>
      </c>
      <c r="D176" s="75" t="s">
        <v>372</v>
      </c>
      <c r="E176" s="103" t="n">
        <v>100</v>
      </c>
      <c r="F176" s="75" t="s">
        <v>177</v>
      </c>
    </row>
    <row r="177" customFormat="false" ht="14.25" hidden="true" customHeight="false" outlineLevel="0" collapsed="false">
      <c r="A177" s="66" t="s">
        <v>40</v>
      </c>
      <c r="B177" s="66" t="s">
        <v>352</v>
      </c>
      <c r="C177" s="66" t="s">
        <v>353</v>
      </c>
      <c r="D177" s="66" t="s">
        <v>373</v>
      </c>
      <c r="E177" s="102" t="n">
        <v>21.6</v>
      </c>
      <c r="F177" s="66" t="s">
        <v>190</v>
      </c>
    </row>
    <row r="178" customFormat="false" ht="14.25" hidden="true" customHeight="false" outlineLevel="0" collapsed="false">
      <c r="A178" s="75" t="s">
        <v>40</v>
      </c>
      <c r="B178" s="75" t="s">
        <v>352</v>
      </c>
      <c r="C178" s="75" t="s">
        <v>353</v>
      </c>
      <c r="D178" s="75" t="s">
        <v>374</v>
      </c>
      <c r="E178" s="103" t="n">
        <v>32.4</v>
      </c>
      <c r="F178" s="75" t="s">
        <v>190</v>
      </c>
    </row>
    <row r="179" customFormat="false" ht="14.25" hidden="true" customHeight="false" outlineLevel="0" collapsed="false">
      <c r="A179" s="66" t="s">
        <v>40</v>
      </c>
      <c r="B179" s="66" t="s">
        <v>352</v>
      </c>
      <c r="C179" s="66" t="s">
        <v>353</v>
      </c>
      <c r="D179" s="66" t="s">
        <v>375</v>
      </c>
      <c r="E179" s="102" t="n">
        <v>54</v>
      </c>
      <c r="F179" s="66" t="s">
        <v>190</v>
      </c>
    </row>
    <row r="180" customFormat="false" ht="14.25" hidden="true" customHeight="false" outlineLevel="0" collapsed="false">
      <c r="A180" s="75" t="s">
        <v>40</v>
      </c>
      <c r="B180" s="75" t="s">
        <v>352</v>
      </c>
      <c r="C180" s="75" t="s">
        <v>376</v>
      </c>
      <c r="D180" s="75" t="s">
        <v>377</v>
      </c>
      <c r="E180" s="103" t="n">
        <v>30</v>
      </c>
      <c r="F180" s="75" t="s">
        <v>177</v>
      </c>
    </row>
    <row r="181" customFormat="false" ht="14.25" hidden="true" customHeight="false" outlineLevel="0" collapsed="false">
      <c r="A181" s="66" t="s">
        <v>40</v>
      </c>
      <c r="B181" s="66" t="s">
        <v>352</v>
      </c>
      <c r="C181" s="66" t="s">
        <v>376</v>
      </c>
      <c r="D181" s="66" t="s">
        <v>378</v>
      </c>
      <c r="E181" s="102" t="n">
        <v>80</v>
      </c>
      <c r="F181" s="66" t="s">
        <v>177</v>
      </c>
    </row>
    <row r="182" customFormat="false" ht="14.25" hidden="true" customHeight="false" outlineLevel="0" collapsed="false">
      <c r="A182" s="75" t="s">
        <v>40</v>
      </c>
      <c r="B182" s="75" t="s">
        <v>352</v>
      </c>
      <c r="C182" s="75" t="s">
        <v>376</v>
      </c>
      <c r="D182" s="75" t="s">
        <v>379</v>
      </c>
      <c r="E182" s="103" t="n">
        <v>54</v>
      </c>
      <c r="F182" s="75" t="s">
        <v>190</v>
      </c>
    </row>
    <row r="183" customFormat="false" ht="14.25" hidden="true" customHeight="false" outlineLevel="0" collapsed="false">
      <c r="A183" s="66" t="s">
        <v>40</v>
      </c>
      <c r="B183" s="66" t="s">
        <v>352</v>
      </c>
      <c r="C183" s="66" t="s">
        <v>376</v>
      </c>
      <c r="D183" s="66" t="s">
        <v>380</v>
      </c>
      <c r="E183" s="102" t="n">
        <v>50</v>
      </c>
      <c r="F183" s="66" t="s">
        <v>177</v>
      </c>
    </row>
    <row r="184" customFormat="false" ht="14.25" hidden="true" customHeight="false" outlineLevel="0" collapsed="false">
      <c r="A184" s="75" t="s">
        <v>40</v>
      </c>
      <c r="B184" s="75" t="s">
        <v>352</v>
      </c>
      <c r="C184" s="75" t="s">
        <v>376</v>
      </c>
      <c r="D184" s="75" t="s">
        <v>381</v>
      </c>
      <c r="E184" s="103" t="n">
        <v>21.6</v>
      </c>
      <c r="F184" s="75" t="s">
        <v>190</v>
      </c>
    </row>
    <row r="185" customFormat="false" ht="14.25" hidden="true" customHeight="false" outlineLevel="0" collapsed="false">
      <c r="A185" s="66" t="s">
        <v>40</v>
      </c>
      <c r="B185" s="66" t="s">
        <v>352</v>
      </c>
      <c r="C185" s="66" t="s">
        <v>376</v>
      </c>
      <c r="D185" s="66" t="s">
        <v>382</v>
      </c>
      <c r="E185" s="102" t="n">
        <v>32.4</v>
      </c>
      <c r="F185" s="66" t="s">
        <v>190</v>
      </c>
    </row>
    <row r="186" customFormat="false" ht="14.25" hidden="true" customHeight="false" outlineLevel="0" collapsed="false">
      <c r="A186" s="75" t="s">
        <v>40</v>
      </c>
      <c r="B186" s="75" t="s">
        <v>352</v>
      </c>
      <c r="C186" s="75" t="s">
        <v>376</v>
      </c>
      <c r="D186" s="75" t="s">
        <v>383</v>
      </c>
      <c r="E186" s="103" t="n">
        <v>50</v>
      </c>
      <c r="F186" s="75" t="s">
        <v>177</v>
      </c>
    </row>
    <row r="187" customFormat="false" ht="14.25" hidden="true" customHeight="false" outlineLevel="0" collapsed="false">
      <c r="A187" s="66" t="s">
        <v>40</v>
      </c>
      <c r="B187" s="66" t="s">
        <v>352</v>
      </c>
      <c r="C187" s="66" t="s">
        <v>376</v>
      </c>
      <c r="D187" s="66" t="s">
        <v>384</v>
      </c>
      <c r="E187" s="102" t="n">
        <v>30</v>
      </c>
      <c r="F187" s="66" t="s">
        <v>177</v>
      </c>
    </row>
    <row r="188" customFormat="false" ht="14.25" hidden="true" customHeight="false" outlineLevel="0" collapsed="false">
      <c r="A188" s="75" t="s">
        <v>40</v>
      </c>
      <c r="B188" s="75" t="s">
        <v>352</v>
      </c>
      <c r="C188" s="75" t="s">
        <v>376</v>
      </c>
      <c r="D188" s="75" t="s">
        <v>385</v>
      </c>
      <c r="E188" s="103" t="n">
        <v>54</v>
      </c>
      <c r="F188" s="75" t="s">
        <v>190</v>
      </c>
    </row>
    <row r="189" customFormat="false" ht="14.25" hidden="true" customHeight="false" outlineLevel="0" collapsed="false">
      <c r="A189" s="66" t="s">
        <v>40</v>
      </c>
      <c r="B189" s="66" t="s">
        <v>352</v>
      </c>
      <c r="C189" s="66" t="s">
        <v>376</v>
      </c>
      <c r="D189" s="66" t="s">
        <v>386</v>
      </c>
      <c r="E189" s="102" t="n">
        <v>80</v>
      </c>
      <c r="F189" s="66" t="s">
        <v>177</v>
      </c>
    </row>
    <row r="190" customFormat="false" ht="14.25" hidden="true" customHeight="false" outlineLevel="0" collapsed="false">
      <c r="A190" s="75" t="s">
        <v>40</v>
      </c>
      <c r="B190" s="75" t="s">
        <v>352</v>
      </c>
      <c r="C190" s="75" t="s">
        <v>376</v>
      </c>
      <c r="D190" s="75" t="s">
        <v>387</v>
      </c>
      <c r="E190" s="103" t="n">
        <v>30</v>
      </c>
      <c r="F190" s="75" t="s">
        <v>177</v>
      </c>
    </row>
    <row r="191" customFormat="false" ht="14.25" hidden="true" customHeight="false" outlineLevel="0" collapsed="false">
      <c r="A191" s="66" t="s">
        <v>40</v>
      </c>
      <c r="B191" s="66" t="s">
        <v>352</v>
      </c>
      <c r="C191" s="66" t="s">
        <v>376</v>
      </c>
      <c r="D191" s="66" t="s">
        <v>388</v>
      </c>
      <c r="E191" s="102" t="n">
        <v>50</v>
      </c>
      <c r="F191" s="66" t="s">
        <v>177</v>
      </c>
    </row>
    <row r="192" customFormat="false" ht="14.25" hidden="true" customHeight="false" outlineLevel="0" collapsed="false">
      <c r="A192" s="75" t="s">
        <v>40</v>
      </c>
      <c r="B192" s="75" t="s">
        <v>352</v>
      </c>
      <c r="C192" s="75" t="s">
        <v>376</v>
      </c>
      <c r="D192" s="75" t="s">
        <v>389</v>
      </c>
      <c r="E192" s="103" t="n">
        <v>30</v>
      </c>
      <c r="F192" s="75" t="s">
        <v>177</v>
      </c>
    </row>
    <row r="193" customFormat="false" ht="14.25" hidden="true" customHeight="false" outlineLevel="0" collapsed="false">
      <c r="A193" s="66" t="s">
        <v>40</v>
      </c>
      <c r="B193" s="66" t="s">
        <v>352</v>
      </c>
      <c r="C193" s="66" t="s">
        <v>376</v>
      </c>
      <c r="D193" s="66" t="s">
        <v>390</v>
      </c>
      <c r="E193" s="102" t="n">
        <v>80</v>
      </c>
      <c r="F193" s="66" t="s">
        <v>177</v>
      </c>
    </row>
    <row r="194" customFormat="false" ht="14.25" hidden="true" customHeight="false" outlineLevel="0" collapsed="false">
      <c r="A194" s="75" t="s">
        <v>40</v>
      </c>
      <c r="B194" s="75" t="s">
        <v>352</v>
      </c>
      <c r="C194" s="75" t="s">
        <v>376</v>
      </c>
      <c r="D194" s="75" t="s">
        <v>391</v>
      </c>
      <c r="E194" s="103" t="n">
        <v>54</v>
      </c>
      <c r="F194" s="75" t="s">
        <v>190</v>
      </c>
    </row>
    <row r="195" customFormat="false" ht="14.25" hidden="true" customHeight="false" outlineLevel="0" collapsed="false">
      <c r="A195" s="66" t="s">
        <v>40</v>
      </c>
      <c r="B195" s="66" t="s">
        <v>352</v>
      </c>
      <c r="C195" s="66" t="s">
        <v>376</v>
      </c>
      <c r="D195" s="66" t="s">
        <v>392</v>
      </c>
      <c r="E195" s="102" t="n">
        <v>80</v>
      </c>
      <c r="F195" s="66" t="s">
        <v>177</v>
      </c>
    </row>
    <row r="196" customFormat="false" ht="14.25" hidden="true" customHeight="false" outlineLevel="0" collapsed="false">
      <c r="A196" s="75" t="s">
        <v>40</v>
      </c>
      <c r="B196" s="75" t="s">
        <v>352</v>
      </c>
      <c r="C196" s="75" t="s">
        <v>376</v>
      </c>
      <c r="D196" s="75" t="s">
        <v>393</v>
      </c>
      <c r="E196" s="103" t="n">
        <v>21.6</v>
      </c>
      <c r="F196" s="75" t="s">
        <v>175</v>
      </c>
    </row>
    <row r="197" customFormat="false" ht="14.25" hidden="true" customHeight="false" outlineLevel="0" collapsed="false">
      <c r="A197" s="66" t="s">
        <v>40</v>
      </c>
      <c r="B197" s="66" t="s">
        <v>352</v>
      </c>
      <c r="C197" s="66" t="s">
        <v>376</v>
      </c>
      <c r="D197" s="66" t="s">
        <v>394</v>
      </c>
      <c r="E197" s="102" t="n">
        <v>30</v>
      </c>
      <c r="F197" s="66" t="s">
        <v>177</v>
      </c>
    </row>
    <row r="198" customFormat="false" ht="14.25" hidden="true" customHeight="false" outlineLevel="0" collapsed="false">
      <c r="A198" s="75" t="s">
        <v>40</v>
      </c>
      <c r="B198" s="75" t="s">
        <v>352</v>
      </c>
      <c r="C198" s="75" t="s">
        <v>395</v>
      </c>
      <c r="D198" s="75" t="s">
        <v>396</v>
      </c>
      <c r="E198" s="103" t="n">
        <v>32.4</v>
      </c>
      <c r="F198" s="75" t="s">
        <v>190</v>
      </c>
    </row>
    <row r="199" customFormat="false" ht="14.25" hidden="true" customHeight="false" outlineLevel="0" collapsed="false">
      <c r="A199" s="66" t="s">
        <v>40</v>
      </c>
      <c r="B199" s="66" t="s">
        <v>352</v>
      </c>
      <c r="C199" s="66" t="s">
        <v>395</v>
      </c>
      <c r="D199" s="66" t="s">
        <v>397</v>
      </c>
      <c r="E199" s="102" t="n">
        <v>81</v>
      </c>
      <c r="F199" s="66" t="s">
        <v>190</v>
      </c>
    </row>
    <row r="200" customFormat="false" ht="14.25" hidden="true" customHeight="false" outlineLevel="0" collapsed="false">
      <c r="A200" s="75" t="s">
        <v>40</v>
      </c>
      <c r="B200" s="75" t="s">
        <v>352</v>
      </c>
      <c r="C200" s="75" t="s">
        <v>395</v>
      </c>
      <c r="D200" s="75" t="s">
        <v>398</v>
      </c>
      <c r="E200" s="103" t="n">
        <v>32.4</v>
      </c>
      <c r="F200" s="75" t="s">
        <v>190</v>
      </c>
    </row>
    <row r="201" customFormat="false" ht="14.25" hidden="true" customHeight="false" outlineLevel="0" collapsed="false">
      <c r="A201" s="66" t="s">
        <v>40</v>
      </c>
      <c r="B201" s="66" t="s">
        <v>352</v>
      </c>
      <c r="C201" s="66" t="s">
        <v>395</v>
      </c>
      <c r="D201" s="66" t="s">
        <v>399</v>
      </c>
      <c r="E201" s="102" t="n">
        <v>32.4</v>
      </c>
      <c r="F201" s="66" t="s">
        <v>190</v>
      </c>
    </row>
    <row r="202" customFormat="false" ht="14.25" hidden="true" customHeight="false" outlineLevel="0" collapsed="false">
      <c r="A202" s="75" t="s">
        <v>40</v>
      </c>
      <c r="B202" s="75" t="s">
        <v>352</v>
      </c>
      <c r="C202" s="75" t="s">
        <v>395</v>
      </c>
      <c r="D202" s="75" t="s">
        <v>400</v>
      </c>
      <c r="E202" s="103" t="n">
        <v>54</v>
      </c>
      <c r="F202" s="75" t="s">
        <v>190</v>
      </c>
    </row>
    <row r="203" customFormat="false" ht="14.25" hidden="true" customHeight="false" outlineLevel="0" collapsed="false">
      <c r="A203" s="66" t="s">
        <v>40</v>
      </c>
      <c r="B203" s="66" t="s">
        <v>352</v>
      </c>
      <c r="C203" s="66" t="s">
        <v>395</v>
      </c>
      <c r="D203" s="66" t="s">
        <v>401</v>
      </c>
      <c r="E203" s="102" t="n">
        <v>81</v>
      </c>
      <c r="F203" s="66" t="s">
        <v>190</v>
      </c>
    </row>
    <row r="204" customFormat="false" ht="14.25" hidden="true" customHeight="false" outlineLevel="0" collapsed="false">
      <c r="A204" s="75" t="s">
        <v>40</v>
      </c>
      <c r="B204" s="75" t="s">
        <v>352</v>
      </c>
      <c r="C204" s="75" t="s">
        <v>395</v>
      </c>
      <c r="D204" s="75" t="s">
        <v>402</v>
      </c>
      <c r="E204" s="103" t="n">
        <v>32.4</v>
      </c>
      <c r="F204" s="75" t="s">
        <v>190</v>
      </c>
    </row>
    <row r="205" customFormat="false" ht="14.25" hidden="true" customHeight="false" outlineLevel="0" collapsed="false">
      <c r="A205" s="66" t="s">
        <v>40</v>
      </c>
      <c r="B205" s="66" t="s">
        <v>352</v>
      </c>
      <c r="C205" s="66" t="s">
        <v>403</v>
      </c>
      <c r="D205" s="66" t="s">
        <v>404</v>
      </c>
      <c r="E205" s="102" t="n">
        <v>81</v>
      </c>
      <c r="F205" s="66" t="s">
        <v>175</v>
      </c>
    </row>
    <row r="206" customFormat="false" ht="14.25" hidden="true" customHeight="false" outlineLevel="0" collapsed="false">
      <c r="A206" s="75" t="s">
        <v>40</v>
      </c>
      <c r="B206" s="75" t="s">
        <v>352</v>
      </c>
      <c r="C206" s="75" t="s">
        <v>403</v>
      </c>
      <c r="D206" s="75" t="s">
        <v>405</v>
      </c>
      <c r="E206" s="103" t="n">
        <v>32.4</v>
      </c>
      <c r="F206" s="75" t="s">
        <v>175</v>
      </c>
    </row>
    <row r="207" customFormat="false" ht="14.25" hidden="true" customHeight="false" outlineLevel="0" collapsed="false">
      <c r="A207" s="66" t="s">
        <v>40</v>
      </c>
      <c r="B207" s="66" t="s">
        <v>352</v>
      </c>
      <c r="C207" s="66" t="s">
        <v>403</v>
      </c>
      <c r="D207" s="66" t="s">
        <v>406</v>
      </c>
      <c r="E207" s="102" t="n">
        <v>32.4</v>
      </c>
      <c r="F207" s="66" t="s">
        <v>175</v>
      </c>
    </row>
    <row r="208" customFormat="false" ht="14.25" hidden="true" customHeight="false" outlineLevel="0" collapsed="false">
      <c r="A208" s="75" t="s">
        <v>40</v>
      </c>
      <c r="B208" s="75" t="s">
        <v>352</v>
      </c>
      <c r="C208" s="75" t="s">
        <v>403</v>
      </c>
      <c r="D208" s="75" t="s">
        <v>407</v>
      </c>
      <c r="E208" s="103" t="n">
        <v>21.6</v>
      </c>
      <c r="F208" s="75" t="s">
        <v>175</v>
      </c>
    </row>
    <row r="209" customFormat="false" ht="14.25" hidden="true" customHeight="false" outlineLevel="0" collapsed="false">
      <c r="A209" s="66" t="s">
        <v>40</v>
      </c>
      <c r="B209" s="66" t="s">
        <v>352</v>
      </c>
      <c r="C209" s="66" t="s">
        <v>403</v>
      </c>
      <c r="D209" s="66" t="s">
        <v>408</v>
      </c>
      <c r="E209" s="102" t="n">
        <v>54</v>
      </c>
      <c r="F209" s="66" t="s">
        <v>175</v>
      </c>
    </row>
    <row r="210" customFormat="false" ht="14.25" hidden="true" customHeight="false" outlineLevel="0" collapsed="false">
      <c r="A210" s="75" t="s">
        <v>40</v>
      </c>
      <c r="B210" s="75" t="s">
        <v>352</v>
      </c>
      <c r="C210" s="75" t="s">
        <v>403</v>
      </c>
      <c r="D210" s="75" t="s">
        <v>409</v>
      </c>
      <c r="E210" s="103" t="n">
        <v>32.4</v>
      </c>
      <c r="F210" s="75" t="s">
        <v>175</v>
      </c>
    </row>
    <row r="211" customFormat="false" ht="14.25" hidden="true" customHeight="false" outlineLevel="0" collapsed="false">
      <c r="A211" s="66" t="s">
        <v>40</v>
      </c>
      <c r="B211" s="66" t="s">
        <v>352</v>
      </c>
      <c r="C211" s="66" t="s">
        <v>403</v>
      </c>
      <c r="D211" s="66" t="s">
        <v>410</v>
      </c>
      <c r="E211" s="102" t="n">
        <v>15</v>
      </c>
      <c r="F211" s="66" t="s">
        <v>177</v>
      </c>
    </row>
    <row r="212" customFormat="false" ht="14.25" hidden="true" customHeight="false" outlineLevel="0" collapsed="false">
      <c r="A212" s="75" t="s">
        <v>40</v>
      </c>
      <c r="B212" s="75" t="s">
        <v>352</v>
      </c>
      <c r="C212" s="75" t="s">
        <v>403</v>
      </c>
      <c r="D212" s="75" t="s">
        <v>411</v>
      </c>
      <c r="E212" s="103" t="n">
        <v>32.4</v>
      </c>
      <c r="F212" s="75" t="s">
        <v>175</v>
      </c>
    </row>
    <row r="213" customFormat="false" ht="14.25" hidden="true" customHeight="false" outlineLevel="0" collapsed="false">
      <c r="A213" s="66" t="s">
        <v>40</v>
      </c>
      <c r="B213" s="66" t="s">
        <v>352</v>
      </c>
      <c r="C213" s="66" t="s">
        <v>403</v>
      </c>
      <c r="D213" s="66" t="s">
        <v>412</v>
      </c>
      <c r="E213" s="102" t="n">
        <v>50</v>
      </c>
      <c r="F213" s="66" t="s">
        <v>177</v>
      </c>
    </row>
    <row r="214" customFormat="false" ht="14.25" hidden="true" customHeight="false" outlineLevel="0" collapsed="false">
      <c r="A214" s="75" t="s">
        <v>40</v>
      </c>
      <c r="B214" s="75" t="s">
        <v>352</v>
      </c>
      <c r="C214" s="75" t="s">
        <v>403</v>
      </c>
      <c r="D214" s="75" t="s">
        <v>413</v>
      </c>
      <c r="E214" s="103" t="n">
        <v>54</v>
      </c>
      <c r="F214" s="75" t="s">
        <v>175</v>
      </c>
    </row>
    <row r="215" customFormat="false" ht="14.25" hidden="true" customHeight="false" outlineLevel="0" collapsed="false">
      <c r="A215" s="66" t="s">
        <v>40</v>
      </c>
      <c r="B215" s="66" t="s">
        <v>352</v>
      </c>
      <c r="C215" s="66" t="s">
        <v>414</v>
      </c>
      <c r="D215" s="66" t="s">
        <v>415</v>
      </c>
      <c r="E215" s="102" t="n">
        <v>183.6</v>
      </c>
      <c r="F215" s="66" t="s">
        <v>190</v>
      </c>
    </row>
    <row r="216" customFormat="false" ht="14.25" hidden="true" customHeight="false" outlineLevel="0" collapsed="false">
      <c r="A216" s="75" t="s">
        <v>40</v>
      </c>
      <c r="B216" s="75" t="s">
        <v>352</v>
      </c>
      <c r="C216" s="75" t="s">
        <v>414</v>
      </c>
      <c r="D216" s="75" t="s">
        <v>416</v>
      </c>
      <c r="E216" s="103" t="n">
        <v>54</v>
      </c>
      <c r="F216" s="75" t="s">
        <v>175</v>
      </c>
    </row>
    <row r="217" customFormat="false" ht="14.25" hidden="true" customHeight="false" outlineLevel="0" collapsed="false">
      <c r="A217" s="66" t="s">
        <v>40</v>
      </c>
      <c r="B217" s="66" t="s">
        <v>352</v>
      </c>
      <c r="C217" s="66" t="s">
        <v>414</v>
      </c>
      <c r="D217" s="66" t="s">
        <v>417</v>
      </c>
      <c r="E217" s="102" t="n">
        <v>32.4</v>
      </c>
      <c r="F217" s="66" t="s">
        <v>190</v>
      </c>
    </row>
    <row r="218" customFormat="false" ht="14.25" hidden="true" customHeight="false" outlineLevel="0" collapsed="false">
      <c r="A218" s="75" t="s">
        <v>40</v>
      </c>
      <c r="B218" s="75" t="s">
        <v>352</v>
      </c>
      <c r="C218" s="75" t="s">
        <v>414</v>
      </c>
      <c r="D218" s="75" t="s">
        <v>418</v>
      </c>
      <c r="E218" s="103" t="n">
        <v>32.4</v>
      </c>
      <c r="F218" s="75" t="s">
        <v>175</v>
      </c>
    </row>
    <row r="219" customFormat="false" ht="14.25" hidden="false" customHeight="false" outlineLevel="0" collapsed="false">
      <c r="A219" s="66" t="s">
        <v>30</v>
      </c>
      <c r="B219" s="66" t="s">
        <v>31</v>
      </c>
      <c r="C219" s="66" t="s">
        <v>419</v>
      </c>
      <c r="D219" s="66" t="s">
        <v>420</v>
      </c>
      <c r="E219" s="102" t="n">
        <v>97.2</v>
      </c>
      <c r="F219" s="66" t="s">
        <v>190</v>
      </c>
    </row>
    <row r="220" customFormat="false" ht="14.25" hidden="false" customHeight="false" outlineLevel="0" collapsed="false">
      <c r="A220" s="75" t="s">
        <v>30</v>
      </c>
      <c r="B220" s="75" t="s">
        <v>31</v>
      </c>
      <c r="C220" s="75" t="s">
        <v>419</v>
      </c>
      <c r="D220" s="75" t="s">
        <v>421</v>
      </c>
      <c r="E220" s="103" t="n">
        <v>140.4</v>
      </c>
      <c r="F220" s="75" t="s">
        <v>190</v>
      </c>
    </row>
    <row r="221" customFormat="false" ht="14.25" hidden="false" customHeight="false" outlineLevel="0" collapsed="false">
      <c r="A221" s="66" t="s">
        <v>30</v>
      </c>
      <c r="B221" s="66" t="s">
        <v>31</v>
      </c>
      <c r="C221" s="66" t="s">
        <v>419</v>
      </c>
      <c r="D221" s="66" t="s">
        <v>422</v>
      </c>
      <c r="E221" s="102" t="n">
        <v>97.2</v>
      </c>
      <c r="F221" s="66" t="s">
        <v>190</v>
      </c>
    </row>
    <row r="222" customFormat="false" ht="14.25" hidden="false" customHeight="false" outlineLevel="0" collapsed="false">
      <c r="A222" s="75" t="s">
        <v>30</v>
      </c>
      <c r="B222" s="75" t="s">
        <v>31</v>
      </c>
      <c r="C222" s="75" t="s">
        <v>419</v>
      </c>
      <c r="D222" s="75" t="s">
        <v>423</v>
      </c>
      <c r="E222" s="103" t="n">
        <v>140.4</v>
      </c>
      <c r="F222" s="75" t="s">
        <v>190</v>
      </c>
    </row>
    <row r="223" customFormat="false" ht="14.25" hidden="false" customHeight="false" outlineLevel="0" collapsed="false">
      <c r="A223" s="66" t="s">
        <v>30</v>
      </c>
      <c r="B223" s="66" t="s">
        <v>31</v>
      </c>
      <c r="C223" s="66" t="s">
        <v>419</v>
      </c>
      <c r="D223" s="66" t="s">
        <v>424</v>
      </c>
      <c r="E223" s="102" t="n">
        <v>183.6</v>
      </c>
      <c r="F223" s="66" t="s">
        <v>190</v>
      </c>
    </row>
    <row r="224" customFormat="false" ht="14.25" hidden="false" customHeight="false" outlineLevel="0" collapsed="false">
      <c r="A224" s="75" t="s">
        <v>30</v>
      </c>
      <c r="B224" s="75" t="s">
        <v>31</v>
      </c>
      <c r="C224" s="75" t="s">
        <v>419</v>
      </c>
      <c r="D224" s="75" t="s">
        <v>425</v>
      </c>
      <c r="E224" s="103" t="n">
        <v>140.4</v>
      </c>
      <c r="F224" s="75" t="s">
        <v>190</v>
      </c>
    </row>
    <row r="225" customFormat="false" ht="14.25" hidden="false" customHeight="false" outlineLevel="0" collapsed="false">
      <c r="A225" s="66" t="s">
        <v>30</v>
      </c>
      <c r="B225" s="66" t="s">
        <v>31</v>
      </c>
      <c r="C225" s="66" t="s">
        <v>419</v>
      </c>
      <c r="D225" s="66" t="s">
        <v>426</v>
      </c>
      <c r="E225" s="102" t="n">
        <v>97.2</v>
      </c>
      <c r="F225" s="66" t="s">
        <v>190</v>
      </c>
    </row>
    <row r="226" customFormat="false" ht="14.25" hidden="false" customHeight="false" outlineLevel="0" collapsed="false">
      <c r="A226" s="75" t="s">
        <v>30</v>
      </c>
      <c r="B226" s="75" t="s">
        <v>31</v>
      </c>
      <c r="C226" s="75" t="s">
        <v>419</v>
      </c>
      <c r="D226" s="75" t="s">
        <v>427</v>
      </c>
      <c r="E226" s="103" t="n">
        <v>97.2</v>
      </c>
      <c r="F226" s="75" t="s">
        <v>190</v>
      </c>
    </row>
    <row r="227" customFormat="false" ht="14.25" hidden="false" customHeight="false" outlineLevel="0" collapsed="false">
      <c r="A227" s="66" t="s">
        <v>30</v>
      </c>
      <c r="B227" s="66" t="s">
        <v>31</v>
      </c>
      <c r="C227" s="66" t="s">
        <v>419</v>
      </c>
      <c r="D227" s="66" t="s">
        <v>428</v>
      </c>
      <c r="E227" s="102" t="n">
        <v>140.4</v>
      </c>
      <c r="F227" s="66" t="s">
        <v>190</v>
      </c>
    </row>
    <row r="228" customFormat="false" ht="14.25" hidden="false" customHeight="false" outlineLevel="0" collapsed="false">
      <c r="A228" s="75" t="s">
        <v>30</v>
      </c>
      <c r="B228" s="75" t="s">
        <v>31</v>
      </c>
      <c r="C228" s="75" t="s">
        <v>419</v>
      </c>
      <c r="D228" s="75" t="s">
        <v>429</v>
      </c>
      <c r="E228" s="103" t="n">
        <v>21.6</v>
      </c>
      <c r="F228" s="75" t="s">
        <v>190</v>
      </c>
    </row>
    <row r="229" customFormat="false" ht="14.25" hidden="false" customHeight="false" outlineLevel="0" collapsed="false">
      <c r="A229" s="66" t="s">
        <v>30</v>
      </c>
      <c r="B229" s="66" t="s">
        <v>31</v>
      </c>
      <c r="C229" s="66" t="s">
        <v>430</v>
      </c>
      <c r="D229" s="66" t="s">
        <v>431</v>
      </c>
      <c r="E229" s="102" t="n">
        <v>81</v>
      </c>
      <c r="F229" s="66" t="s">
        <v>175</v>
      </c>
    </row>
    <row r="230" customFormat="false" ht="14.25" hidden="false" customHeight="false" outlineLevel="0" collapsed="false">
      <c r="A230" s="75" t="s">
        <v>30</v>
      </c>
      <c r="B230" s="75" t="s">
        <v>31</v>
      </c>
      <c r="C230" s="75" t="s">
        <v>430</v>
      </c>
      <c r="D230" s="75" t="s">
        <v>432</v>
      </c>
      <c r="E230" s="103" t="n">
        <v>81</v>
      </c>
      <c r="F230" s="75" t="s">
        <v>175</v>
      </c>
    </row>
    <row r="231" customFormat="false" ht="14.25" hidden="false" customHeight="false" outlineLevel="0" collapsed="false">
      <c r="A231" s="66" t="s">
        <v>30</v>
      </c>
      <c r="B231" s="66" t="s">
        <v>31</v>
      </c>
      <c r="C231" s="66" t="s">
        <v>433</v>
      </c>
      <c r="D231" s="66" t="s">
        <v>434</v>
      </c>
      <c r="E231" s="102" t="n">
        <v>140.4</v>
      </c>
      <c r="F231" s="66" t="s">
        <v>190</v>
      </c>
    </row>
    <row r="232" customFormat="false" ht="14.25" hidden="false" customHeight="false" outlineLevel="0" collapsed="false">
      <c r="A232" s="75" t="s">
        <v>30</v>
      </c>
      <c r="B232" s="75" t="s">
        <v>31</v>
      </c>
      <c r="C232" s="75" t="s">
        <v>433</v>
      </c>
      <c r="D232" s="75" t="s">
        <v>435</v>
      </c>
      <c r="E232" s="103" t="n">
        <v>32.4</v>
      </c>
      <c r="F232" s="75" t="s">
        <v>175</v>
      </c>
    </row>
    <row r="233" customFormat="false" ht="14.25" hidden="false" customHeight="false" outlineLevel="0" collapsed="false">
      <c r="A233" s="66" t="s">
        <v>30</v>
      </c>
      <c r="B233" s="66" t="s">
        <v>31</v>
      </c>
      <c r="C233" s="66" t="s">
        <v>433</v>
      </c>
      <c r="D233" s="66" t="s">
        <v>436</v>
      </c>
      <c r="E233" s="102" t="n">
        <v>32.4</v>
      </c>
      <c r="F233" s="66" t="s">
        <v>175</v>
      </c>
    </row>
    <row r="234" customFormat="false" ht="14.25" hidden="false" customHeight="false" outlineLevel="0" collapsed="false">
      <c r="A234" s="75" t="s">
        <v>30</v>
      </c>
      <c r="B234" s="75" t="s">
        <v>31</v>
      </c>
      <c r="C234" s="75" t="s">
        <v>433</v>
      </c>
      <c r="D234" s="75" t="s">
        <v>437</v>
      </c>
      <c r="E234" s="103" t="n">
        <v>97.2</v>
      </c>
      <c r="F234" s="75" t="s">
        <v>190</v>
      </c>
    </row>
    <row r="235" customFormat="false" ht="14.25" hidden="false" customHeight="false" outlineLevel="0" collapsed="false">
      <c r="A235" s="66" t="s">
        <v>30</v>
      </c>
      <c r="B235" s="66" t="s">
        <v>31</v>
      </c>
      <c r="C235" s="66" t="s">
        <v>433</v>
      </c>
      <c r="D235" s="66" t="s">
        <v>438</v>
      </c>
      <c r="E235" s="102" t="n">
        <v>140.4</v>
      </c>
      <c r="F235" s="66" t="s">
        <v>175</v>
      </c>
    </row>
    <row r="236" customFormat="false" ht="14.25" hidden="false" customHeight="false" outlineLevel="0" collapsed="false">
      <c r="A236" s="75" t="s">
        <v>30</v>
      </c>
      <c r="B236" s="75" t="s">
        <v>31</v>
      </c>
      <c r="C236" s="75" t="s">
        <v>439</v>
      </c>
      <c r="D236" s="75" t="s">
        <v>440</v>
      </c>
      <c r="E236" s="103" t="n">
        <v>80</v>
      </c>
      <c r="F236" s="75" t="s">
        <v>177</v>
      </c>
    </row>
    <row r="237" customFormat="false" ht="14.25" hidden="false" customHeight="false" outlineLevel="0" collapsed="false">
      <c r="A237" s="66" t="s">
        <v>30</v>
      </c>
      <c r="B237" s="66" t="s">
        <v>31</v>
      </c>
      <c r="C237" s="66" t="s">
        <v>439</v>
      </c>
      <c r="D237" s="66" t="s">
        <v>441</v>
      </c>
      <c r="E237" s="102" t="n">
        <v>80</v>
      </c>
      <c r="F237" s="66" t="s">
        <v>177</v>
      </c>
    </row>
    <row r="238" customFormat="false" ht="14.25" hidden="false" customHeight="false" outlineLevel="0" collapsed="false">
      <c r="A238" s="75" t="s">
        <v>30</v>
      </c>
      <c r="B238" s="75" t="s">
        <v>31</v>
      </c>
      <c r="C238" s="75" t="s">
        <v>439</v>
      </c>
      <c r="D238" s="75" t="s">
        <v>442</v>
      </c>
      <c r="E238" s="103" t="n">
        <v>80</v>
      </c>
      <c r="F238" s="75" t="s">
        <v>177</v>
      </c>
    </row>
    <row r="239" customFormat="false" ht="14.25" hidden="false" customHeight="false" outlineLevel="0" collapsed="false">
      <c r="A239" s="66" t="s">
        <v>30</v>
      </c>
      <c r="B239" s="66" t="s">
        <v>31</v>
      </c>
      <c r="C239" s="66" t="s">
        <v>439</v>
      </c>
      <c r="D239" s="66" t="s">
        <v>443</v>
      </c>
      <c r="E239" s="102" t="n">
        <v>80</v>
      </c>
      <c r="F239" s="66" t="s">
        <v>177</v>
      </c>
    </row>
    <row r="240" customFormat="false" ht="14.25" hidden="false" customHeight="false" outlineLevel="0" collapsed="false">
      <c r="A240" s="75" t="s">
        <v>30</v>
      </c>
      <c r="B240" s="75" t="s">
        <v>31</v>
      </c>
      <c r="C240" s="75" t="s">
        <v>444</v>
      </c>
      <c r="D240" s="75" t="s">
        <v>445</v>
      </c>
      <c r="E240" s="103" t="n">
        <v>81</v>
      </c>
      <c r="F240" s="75" t="s">
        <v>175</v>
      </c>
    </row>
    <row r="241" customFormat="false" ht="14.25" hidden="false" customHeight="false" outlineLevel="0" collapsed="false">
      <c r="A241" s="66" t="s">
        <v>30</v>
      </c>
      <c r="B241" s="66" t="s">
        <v>31</v>
      </c>
      <c r="C241" s="66" t="s">
        <v>444</v>
      </c>
      <c r="D241" s="66" t="s">
        <v>446</v>
      </c>
      <c r="E241" s="102" t="n">
        <v>54</v>
      </c>
      <c r="F241" s="66" t="s">
        <v>190</v>
      </c>
    </row>
    <row r="242" customFormat="false" ht="14.25" hidden="false" customHeight="false" outlineLevel="0" collapsed="false">
      <c r="A242" s="75" t="s">
        <v>30</v>
      </c>
      <c r="B242" s="75" t="s">
        <v>31</v>
      </c>
      <c r="C242" s="75" t="s">
        <v>444</v>
      </c>
      <c r="D242" s="75" t="s">
        <v>447</v>
      </c>
      <c r="E242" s="103" t="n">
        <v>100</v>
      </c>
      <c r="F242" s="75" t="s">
        <v>177</v>
      </c>
    </row>
    <row r="243" customFormat="false" ht="14.25" hidden="false" customHeight="false" outlineLevel="0" collapsed="false">
      <c r="A243" s="66" t="s">
        <v>30</v>
      </c>
      <c r="B243" s="66" t="s">
        <v>31</v>
      </c>
      <c r="C243" s="66" t="s">
        <v>444</v>
      </c>
      <c r="D243" s="66" t="s">
        <v>448</v>
      </c>
      <c r="E243" s="102" t="n">
        <v>97.2</v>
      </c>
      <c r="F243" s="66" t="s">
        <v>175</v>
      </c>
    </row>
    <row r="244" customFormat="false" ht="14.25" hidden="false" customHeight="false" outlineLevel="0" collapsed="false">
      <c r="A244" s="75" t="s">
        <v>30</v>
      </c>
      <c r="B244" s="75" t="s">
        <v>31</v>
      </c>
      <c r="C244" s="75" t="s">
        <v>444</v>
      </c>
      <c r="D244" s="75" t="s">
        <v>449</v>
      </c>
      <c r="E244" s="103" t="n">
        <v>80</v>
      </c>
      <c r="F244" s="75" t="s">
        <v>177</v>
      </c>
    </row>
    <row r="245" customFormat="false" ht="14.25" hidden="false" customHeight="false" outlineLevel="0" collapsed="false">
      <c r="A245" s="66" t="s">
        <v>30</v>
      </c>
      <c r="B245" s="66" t="s">
        <v>31</v>
      </c>
      <c r="C245" s="66" t="s">
        <v>444</v>
      </c>
      <c r="D245" s="66" t="s">
        <v>450</v>
      </c>
      <c r="E245" s="102" t="n">
        <v>32.4</v>
      </c>
      <c r="F245" s="66" t="s">
        <v>190</v>
      </c>
    </row>
    <row r="246" customFormat="false" ht="14.25" hidden="false" customHeight="false" outlineLevel="0" collapsed="false">
      <c r="A246" s="75" t="s">
        <v>30</v>
      </c>
      <c r="B246" s="75" t="s">
        <v>31</v>
      </c>
      <c r="C246" s="75" t="s">
        <v>444</v>
      </c>
      <c r="D246" s="75" t="s">
        <v>451</v>
      </c>
      <c r="E246" s="103" t="n">
        <v>81</v>
      </c>
      <c r="F246" s="75" t="s">
        <v>175</v>
      </c>
    </row>
    <row r="247" customFormat="false" ht="14.25" hidden="false" customHeight="false" outlineLevel="0" collapsed="false">
      <c r="A247" s="66" t="s">
        <v>30</v>
      </c>
      <c r="B247" s="66" t="s">
        <v>31</v>
      </c>
      <c r="C247" s="66" t="s">
        <v>444</v>
      </c>
      <c r="D247" s="66" t="s">
        <v>452</v>
      </c>
      <c r="E247" s="102" t="n">
        <v>80</v>
      </c>
      <c r="F247" s="66" t="s">
        <v>177</v>
      </c>
    </row>
    <row r="248" customFormat="false" ht="14.25" hidden="false" customHeight="false" outlineLevel="0" collapsed="false">
      <c r="A248" s="75" t="s">
        <v>30</v>
      </c>
      <c r="B248" s="75" t="s">
        <v>31</v>
      </c>
      <c r="C248" s="75" t="s">
        <v>444</v>
      </c>
      <c r="D248" s="75" t="s">
        <v>453</v>
      </c>
      <c r="E248" s="103" t="n">
        <v>54</v>
      </c>
      <c r="F248" s="75" t="s">
        <v>175</v>
      </c>
    </row>
    <row r="249" customFormat="false" ht="14.25" hidden="false" customHeight="false" outlineLevel="0" collapsed="false">
      <c r="A249" s="66" t="s">
        <v>30</v>
      </c>
      <c r="B249" s="66" t="s">
        <v>31</v>
      </c>
      <c r="C249" s="66" t="s">
        <v>454</v>
      </c>
      <c r="D249" s="66" t="s">
        <v>455</v>
      </c>
      <c r="E249" s="102" t="n">
        <v>80</v>
      </c>
      <c r="F249" s="66" t="s">
        <v>177</v>
      </c>
    </row>
    <row r="250" customFormat="false" ht="14.25" hidden="false" customHeight="false" outlineLevel="0" collapsed="false">
      <c r="A250" s="75" t="s">
        <v>30</v>
      </c>
      <c r="B250" s="75" t="s">
        <v>31</v>
      </c>
      <c r="C250" s="75" t="s">
        <v>454</v>
      </c>
      <c r="D250" s="75" t="s">
        <v>456</v>
      </c>
      <c r="E250" s="103" t="n">
        <v>97.2</v>
      </c>
      <c r="F250" s="75" t="s">
        <v>190</v>
      </c>
    </row>
    <row r="251" customFormat="false" ht="14.25" hidden="false" customHeight="false" outlineLevel="0" collapsed="false">
      <c r="A251" s="66" t="s">
        <v>30</v>
      </c>
      <c r="B251" s="66" t="s">
        <v>31</v>
      </c>
      <c r="C251" s="66" t="s">
        <v>454</v>
      </c>
      <c r="D251" s="66" t="s">
        <v>457</v>
      </c>
      <c r="E251" s="102" t="n">
        <v>54</v>
      </c>
      <c r="F251" s="66" t="s">
        <v>190</v>
      </c>
    </row>
    <row r="252" customFormat="false" ht="14.25" hidden="false" customHeight="false" outlineLevel="0" collapsed="false">
      <c r="A252" s="75" t="s">
        <v>30</v>
      </c>
      <c r="B252" s="75" t="s">
        <v>31</v>
      </c>
      <c r="C252" s="75" t="s">
        <v>454</v>
      </c>
      <c r="D252" s="75" t="s">
        <v>458</v>
      </c>
      <c r="E252" s="103" t="n">
        <v>183.6</v>
      </c>
      <c r="F252" s="75" t="s">
        <v>190</v>
      </c>
    </row>
    <row r="253" customFormat="false" ht="14.25" hidden="false" customHeight="false" outlineLevel="0" collapsed="false">
      <c r="A253" s="66" t="s">
        <v>30</v>
      </c>
      <c r="B253" s="66" t="s">
        <v>31</v>
      </c>
      <c r="C253" s="66" t="s">
        <v>454</v>
      </c>
      <c r="D253" s="66" t="s">
        <v>459</v>
      </c>
      <c r="E253" s="102" t="n">
        <v>97.2</v>
      </c>
      <c r="F253" s="66" t="s">
        <v>175</v>
      </c>
    </row>
    <row r="254" customFormat="false" ht="14.25" hidden="false" customHeight="false" outlineLevel="0" collapsed="false">
      <c r="A254" s="75" t="s">
        <v>30</v>
      </c>
      <c r="B254" s="75" t="s">
        <v>31</v>
      </c>
      <c r="C254" s="75" t="s">
        <v>454</v>
      </c>
      <c r="D254" s="75" t="s">
        <v>460</v>
      </c>
      <c r="E254" s="103" t="n">
        <v>80</v>
      </c>
      <c r="F254" s="75" t="s">
        <v>177</v>
      </c>
    </row>
    <row r="255" customFormat="false" ht="14.25" hidden="false" customHeight="false" outlineLevel="0" collapsed="false">
      <c r="A255" s="66" t="s">
        <v>30</v>
      </c>
      <c r="B255" s="66" t="s">
        <v>31</v>
      </c>
      <c r="C255" s="66" t="s">
        <v>454</v>
      </c>
      <c r="D255" s="66" t="s">
        <v>461</v>
      </c>
      <c r="E255" s="102" t="n">
        <v>80</v>
      </c>
      <c r="F255" s="66" t="s">
        <v>177</v>
      </c>
    </row>
    <row r="256" customFormat="false" ht="14.25" hidden="false" customHeight="false" outlineLevel="0" collapsed="false">
      <c r="A256" s="75" t="s">
        <v>30</v>
      </c>
      <c r="B256" s="75" t="s">
        <v>31</v>
      </c>
      <c r="C256" s="75" t="s">
        <v>454</v>
      </c>
      <c r="D256" s="75" t="s">
        <v>462</v>
      </c>
      <c r="E256" s="103" t="n">
        <v>140.4</v>
      </c>
      <c r="F256" s="75" t="s">
        <v>190</v>
      </c>
    </row>
    <row r="257" customFormat="false" ht="14.25" hidden="false" customHeight="false" outlineLevel="0" collapsed="false">
      <c r="A257" s="66" t="s">
        <v>30</v>
      </c>
      <c r="B257" s="66" t="s">
        <v>31</v>
      </c>
      <c r="C257" s="66" t="s">
        <v>454</v>
      </c>
      <c r="D257" s="66" t="s">
        <v>463</v>
      </c>
      <c r="E257" s="102" t="n">
        <v>150</v>
      </c>
      <c r="F257" s="66" t="s">
        <v>177</v>
      </c>
    </row>
    <row r="258" customFormat="false" ht="14.25" hidden="false" customHeight="false" outlineLevel="0" collapsed="false">
      <c r="A258" s="75" t="s">
        <v>30</v>
      </c>
      <c r="B258" s="75" t="s">
        <v>31</v>
      </c>
      <c r="C258" s="75" t="s">
        <v>454</v>
      </c>
      <c r="D258" s="75" t="s">
        <v>464</v>
      </c>
      <c r="E258" s="103" t="n">
        <v>97.2</v>
      </c>
      <c r="F258" s="75" t="s">
        <v>175</v>
      </c>
    </row>
    <row r="259" customFormat="false" ht="14.25" hidden="false" customHeight="false" outlineLevel="0" collapsed="false">
      <c r="A259" s="66" t="s">
        <v>30</v>
      </c>
      <c r="B259" s="66" t="s">
        <v>31</v>
      </c>
      <c r="C259" s="66" t="s">
        <v>454</v>
      </c>
      <c r="D259" s="66" t="s">
        <v>465</v>
      </c>
      <c r="E259" s="102" t="n">
        <v>80</v>
      </c>
      <c r="F259" s="66" t="s">
        <v>177</v>
      </c>
    </row>
    <row r="260" customFormat="false" ht="14.25" hidden="false" customHeight="false" outlineLevel="0" collapsed="false">
      <c r="A260" s="75" t="s">
        <v>30</v>
      </c>
      <c r="B260" s="75" t="s">
        <v>31</v>
      </c>
      <c r="C260" s="75" t="s">
        <v>454</v>
      </c>
      <c r="D260" s="75" t="s">
        <v>466</v>
      </c>
      <c r="E260" s="103" t="n">
        <v>81</v>
      </c>
      <c r="F260" s="75" t="s">
        <v>175</v>
      </c>
    </row>
    <row r="261" customFormat="false" ht="14.25" hidden="false" customHeight="false" outlineLevel="0" collapsed="false">
      <c r="A261" s="66" t="s">
        <v>30</v>
      </c>
      <c r="B261" s="66" t="s">
        <v>31</v>
      </c>
      <c r="C261" s="66" t="s">
        <v>454</v>
      </c>
      <c r="D261" s="66" t="s">
        <v>467</v>
      </c>
      <c r="E261" s="102" t="n">
        <v>80</v>
      </c>
      <c r="F261" s="66" t="s">
        <v>177</v>
      </c>
    </row>
    <row r="262" customFormat="false" ht="14.25" hidden="false" customHeight="false" outlineLevel="0" collapsed="false">
      <c r="A262" s="75" t="s">
        <v>30</v>
      </c>
      <c r="B262" s="75" t="s">
        <v>31</v>
      </c>
      <c r="C262" s="75" t="s">
        <v>454</v>
      </c>
      <c r="D262" s="75" t="s">
        <v>468</v>
      </c>
      <c r="E262" s="103" t="n">
        <v>80</v>
      </c>
      <c r="F262" s="75" t="s">
        <v>177</v>
      </c>
    </row>
    <row r="263" customFormat="false" ht="14.25" hidden="false" customHeight="false" outlineLevel="0" collapsed="false">
      <c r="A263" s="66" t="s">
        <v>30</v>
      </c>
      <c r="B263" s="66" t="s">
        <v>31</v>
      </c>
      <c r="C263" s="66" t="s">
        <v>454</v>
      </c>
      <c r="D263" s="66" t="s">
        <v>469</v>
      </c>
      <c r="E263" s="102" t="n">
        <v>80</v>
      </c>
      <c r="F263" s="66" t="s">
        <v>177</v>
      </c>
    </row>
    <row r="264" customFormat="false" ht="14.25" hidden="false" customHeight="false" outlineLevel="0" collapsed="false">
      <c r="A264" s="75" t="s">
        <v>30</v>
      </c>
      <c r="B264" s="75" t="s">
        <v>31</v>
      </c>
      <c r="C264" s="75" t="s">
        <v>454</v>
      </c>
      <c r="D264" s="75" t="s">
        <v>470</v>
      </c>
      <c r="E264" s="103" t="n">
        <v>140.4</v>
      </c>
      <c r="F264" s="75" t="s">
        <v>175</v>
      </c>
    </row>
    <row r="265" customFormat="false" ht="14.25" hidden="true" customHeight="false" outlineLevel="0" collapsed="false">
      <c r="A265" s="66" t="s">
        <v>25</v>
      </c>
      <c r="B265" s="66" t="s">
        <v>471</v>
      </c>
      <c r="C265" s="66" t="s">
        <v>472</v>
      </c>
      <c r="D265" s="66" t="s">
        <v>473</v>
      </c>
      <c r="E265" s="102" t="n">
        <v>30</v>
      </c>
      <c r="F265" s="66" t="s">
        <v>177</v>
      </c>
    </row>
    <row r="266" customFormat="false" ht="14.25" hidden="true" customHeight="false" outlineLevel="0" collapsed="false">
      <c r="A266" s="75" t="s">
        <v>25</v>
      </c>
      <c r="B266" s="75" t="s">
        <v>471</v>
      </c>
      <c r="C266" s="75" t="s">
        <v>472</v>
      </c>
      <c r="D266" s="75" t="s">
        <v>474</v>
      </c>
      <c r="E266" s="103" t="n">
        <v>54</v>
      </c>
      <c r="F266" s="75" t="s">
        <v>190</v>
      </c>
    </row>
    <row r="267" customFormat="false" ht="14.25" hidden="true" customHeight="false" outlineLevel="0" collapsed="false">
      <c r="A267" s="66" t="s">
        <v>25</v>
      </c>
      <c r="B267" s="66" t="s">
        <v>471</v>
      </c>
      <c r="C267" s="66" t="s">
        <v>472</v>
      </c>
      <c r="D267" s="66" t="s">
        <v>475</v>
      </c>
      <c r="E267" s="102" t="n">
        <v>21.6</v>
      </c>
      <c r="F267" s="66" t="s">
        <v>175</v>
      </c>
    </row>
    <row r="268" customFormat="false" ht="14.25" hidden="true" customHeight="false" outlineLevel="0" collapsed="false">
      <c r="A268" s="75" t="s">
        <v>25</v>
      </c>
      <c r="B268" s="75" t="s">
        <v>471</v>
      </c>
      <c r="C268" s="75" t="s">
        <v>472</v>
      </c>
      <c r="D268" s="75" t="s">
        <v>476</v>
      </c>
      <c r="E268" s="103" t="n">
        <v>21.6</v>
      </c>
      <c r="F268" s="75" t="s">
        <v>190</v>
      </c>
    </row>
    <row r="269" customFormat="false" ht="14.25" hidden="true" customHeight="false" outlineLevel="0" collapsed="false">
      <c r="A269" s="66" t="s">
        <v>25</v>
      </c>
      <c r="B269" s="66" t="s">
        <v>471</v>
      </c>
      <c r="C269" s="66" t="s">
        <v>472</v>
      </c>
      <c r="D269" s="66" t="s">
        <v>477</v>
      </c>
      <c r="E269" s="102" t="n">
        <v>21.6</v>
      </c>
      <c r="F269" s="66" t="s">
        <v>190</v>
      </c>
    </row>
    <row r="270" customFormat="false" ht="14.25" hidden="true" customHeight="false" outlineLevel="0" collapsed="false">
      <c r="A270" s="75" t="s">
        <v>25</v>
      </c>
      <c r="B270" s="75" t="s">
        <v>471</v>
      </c>
      <c r="C270" s="75" t="s">
        <v>472</v>
      </c>
      <c r="D270" s="75" t="s">
        <v>478</v>
      </c>
      <c r="E270" s="103" t="n">
        <v>21.6</v>
      </c>
      <c r="F270" s="75" t="s">
        <v>175</v>
      </c>
    </row>
    <row r="271" customFormat="false" ht="14.25" hidden="true" customHeight="false" outlineLevel="0" collapsed="false">
      <c r="A271" s="66" t="s">
        <v>25</v>
      </c>
      <c r="B271" s="66" t="s">
        <v>471</v>
      </c>
      <c r="C271" s="66" t="s">
        <v>472</v>
      </c>
      <c r="D271" s="66" t="s">
        <v>479</v>
      </c>
      <c r="E271" s="102" t="n">
        <v>32.4</v>
      </c>
      <c r="F271" s="66" t="s">
        <v>175</v>
      </c>
    </row>
    <row r="272" customFormat="false" ht="14.25" hidden="true" customHeight="false" outlineLevel="0" collapsed="false">
      <c r="A272" s="75" t="s">
        <v>25</v>
      </c>
      <c r="B272" s="75" t="s">
        <v>471</v>
      </c>
      <c r="C272" s="75" t="s">
        <v>472</v>
      </c>
      <c r="D272" s="75" t="s">
        <v>480</v>
      </c>
      <c r="E272" s="103" t="n">
        <v>183.6</v>
      </c>
      <c r="F272" s="75" t="s">
        <v>190</v>
      </c>
    </row>
    <row r="273" customFormat="false" ht="14.25" hidden="true" customHeight="false" outlineLevel="0" collapsed="false">
      <c r="A273" s="66" t="s">
        <v>25</v>
      </c>
      <c r="B273" s="66" t="s">
        <v>471</v>
      </c>
      <c r="C273" s="66" t="s">
        <v>472</v>
      </c>
      <c r="D273" s="66" t="s">
        <v>481</v>
      </c>
      <c r="E273" s="102" t="n">
        <v>80</v>
      </c>
      <c r="F273" s="66" t="s">
        <v>177</v>
      </c>
    </row>
    <row r="274" customFormat="false" ht="14.25" hidden="true" customHeight="false" outlineLevel="0" collapsed="false">
      <c r="A274" s="75" t="s">
        <v>25</v>
      </c>
      <c r="B274" s="75" t="s">
        <v>471</v>
      </c>
      <c r="C274" s="75" t="s">
        <v>472</v>
      </c>
      <c r="D274" s="75" t="s">
        <v>482</v>
      </c>
      <c r="E274" s="103" t="n">
        <v>80</v>
      </c>
      <c r="F274" s="75" t="s">
        <v>177</v>
      </c>
    </row>
    <row r="275" customFormat="false" ht="14.25" hidden="true" customHeight="false" outlineLevel="0" collapsed="false">
      <c r="A275" s="66" t="s">
        <v>25</v>
      </c>
      <c r="B275" s="66" t="s">
        <v>471</v>
      </c>
      <c r="C275" s="66" t="s">
        <v>483</v>
      </c>
      <c r="D275" s="66" t="s">
        <v>484</v>
      </c>
      <c r="E275" s="102" t="n">
        <v>32.4</v>
      </c>
      <c r="F275" s="66" t="s">
        <v>190</v>
      </c>
    </row>
    <row r="276" customFormat="false" ht="14.25" hidden="true" customHeight="false" outlineLevel="0" collapsed="false">
      <c r="A276" s="75" t="s">
        <v>25</v>
      </c>
      <c r="B276" s="75" t="s">
        <v>471</v>
      </c>
      <c r="C276" s="75" t="s">
        <v>483</v>
      </c>
      <c r="D276" s="75" t="s">
        <v>485</v>
      </c>
      <c r="E276" s="103" t="n">
        <v>21.6</v>
      </c>
      <c r="F276" s="75" t="s">
        <v>175</v>
      </c>
    </row>
    <row r="277" customFormat="false" ht="14.25" hidden="true" customHeight="false" outlineLevel="0" collapsed="false">
      <c r="A277" s="66" t="s">
        <v>25</v>
      </c>
      <c r="B277" s="66" t="s">
        <v>471</v>
      </c>
      <c r="C277" s="66" t="s">
        <v>483</v>
      </c>
      <c r="D277" s="66" t="s">
        <v>486</v>
      </c>
      <c r="E277" s="102" t="n">
        <v>32.4</v>
      </c>
      <c r="F277" s="66" t="s">
        <v>175</v>
      </c>
    </row>
    <row r="278" customFormat="false" ht="14.25" hidden="true" customHeight="false" outlineLevel="0" collapsed="false">
      <c r="A278" s="75" t="s">
        <v>25</v>
      </c>
      <c r="B278" s="75" t="s">
        <v>471</v>
      </c>
      <c r="C278" s="75" t="s">
        <v>483</v>
      </c>
      <c r="D278" s="75" t="s">
        <v>487</v>
      </c>
      <c r="E278" s="103" t="n">
        <v>21.6</v>
      </c>
      <c r="F278" s="75" t="s">
        <v>190</v>
      </c>
    </row>
    <row r="279" customFormat="false" ht="14.25" hidden="true" customHeight="false" outlineLevel="0" collapsed="false">
      <c r="A279" s="66" t="s">
        <v>25</v>
      </c>
      <c r="B279" s="66" t="s">
        <v>471</v>
      </c>
      <c r="C279" s="66" t="s">
        <v>483</v>
      </c>
      <c r="D279" s="66" t="s">
        <v>488</v>
      </c>
      <c r="E279" s="102" t="n">
        <v>80</v>
      </c>
      <c r="F279" s="66" t="s">
        <v>177</v>
      </c>
    </row>
    <row r="280" customFormat="false" ht="14.25" hidden="true" customHeight="false" outlineLevel="0" collapsed="false">
      <c r="A280" s="75" t="s">
        <v>25</v>
      </c>
      <c r="B280" s="75" t="s">
        <v>471</v>
      </c>
      <c r="C280" s="75" t="s">
        <v>483</v>
      </c>
      <c r="D280" s="75" t="s">
        <v>489</v>
      </c>
      <c r="E280" s="103" t="n">
        <v>54</v>
      </c>
      <c r="F280" s="75" t="s">
        <v>175</v>
      </c>
    </row>
    <row r="281" customFormat="false" ht="14.25" hidden="true" customHeight="false" outlineLevel="0" collapsed="false">
      <c r="A281" s="66" t="s">
        <v>25</v>
      </c>
      <c r="B281" s="66" t="s">
        <v>471</v>
      </c>
      <c r="C281" s="66" t="s">
        <v>483</v>
      </c>
      <c r="D281" s="66" t="s">
        <v>490</v>
      </c>
      <c r="E281" s="102" t="n">
        <v>32.4</v>
      </c>
      <c r="F281" s="66" t="s">
        <v>175</v>
      </c>
    </row>
    <row r="282" customFormat="false" ht="14.25" hidden="true" customHeight="false" outlineLevel="0" collapsed="false">
      <c r="A282" s="75" t="s">
        <v>25</v>
      </c>
      <c r="B282" s="75" t="s">
        <v>471</v>
      </c>
      <c r="C282" s="75" t="s">
        <v>483</v>
      </c>
      <c r="D282" s="75" t="s">
        <v>491</v>
      </c>
      <c r="E282" s="103" t="n">
        <v>15</v>
      </c>
      <c r="F282" s="75" t="s">
        <v>177</v>
      </c>
    </row>
    <row r="283" customFormat="false" ht="14.25" hidden="true" customHeight="false" outlineLevel="0" collapsed="false">
      <c r="A283" s="66" t="s">
        <v>25</v>
      </c>
      <c r="B283" s="66" t="s">
        <v>471</v>
      </c>
      <c r="C283" s="66" t="s">
        <v>483</v>
      </c>
      <c r="D283" s="66" t="s">
        <v>492</v>
      </c>
      <c r="E283" s="102" t="n">
        <v>54</v>
      </c>
      <c r="F283" s="66" t="s">
        <v>190</v>
      </c>
    </row>
    <row r="284" customFormat="false" ht="14.25" hidden="true" customHeight="false" outlineLevel="0" collapsed="false">
      <c r="A284" s="75" t="s">
        <v>25</v>
      </c>
      <c r="B284" s="75" t="s">
        <v>471</v>
      </c>
      <c r="C284" s="75" t="s">
        <v>483</v>
      </c>
      <c r="D284" s="75" t="s">
        <v>493</v>
      </c>
      <c r="E284" s="103" t="n">
        <v>54</v>
      </c>
      <c r="F284" s="75" t="s">
        <v>190</v>
      </c>
    </row>
    <row r="285" customFormat="false" ht="14.25" hidden="true" customHeight="false" outlineLevel="0" collapsed="false">
      <c r="A285" s="66" t="s">
        <v>25</v>
      </c>
      <c r="B285" s="66" t="s">
        <v>471</v>
      </c>
      <c r="C285" s="66" t="s">
        <v>483</v>
      </c>
      <c r="D285" s="66" t="s">
        <v>494</v>
      </c>
      <c r="E285" s="102" t="n">
        <v>54</v>
      </c>
      <c r="F285" s="66" t="s">
        <v>175</v>
      </c>
    </row>
    <row r="286" customFormat="false" ht="14.25" hidden="true" customHeight="false" outlineLevel="0" collapsed="false">
      <c r="A286" s="75" t="s">
        <v>25</v>
      </c>
      <c r="B286" s="75" t="s">
        <v>471</v>
      </c>
      <c r="C286" s="75" t="s">
        <v>483</v>
      </c>
      <c r="D286" s="75" t="s">
        <v>495</v>
      </c>
      <c r="E286" s="103" t="n">
        <v>21.6</v>
      </c>
      <c r="F286" s="75" t="s">
        <v>190</v>
      </c>
    </row>
    <row r="287" customFormat="false" ht="14.25" hidden="true" customHeight="false" outlineLevel="0" collapsed="false">
      <c r="A287" s="66" t="s">
        <v>25</v>
      </c>
      <c r="B287" s="66" t="s">
        <v>471</v>
      </c>
      <c r="C287" s="66" t="s">
        <v>483</v>
      </c>
      <c r="D287" s="66" t="s">
        <v>496</v>
      </c>
      <c r="E287" s="102" t="n">
        <v>80</v>
      </c>
      <c r="F287" s="66" t="s">
        <v>177</v>
      </c>
    </row>
    <row r="288" customFormat="false" ht="14.25" hidden="true" customHeight="false" outlineLevel="0" collapsed="false">
      <c r="A288" s="75" t="s">
        <v>25</v>
      </c>
      <c r="B288" s="75" t="s">
        <v>471</v>
      </c>
      <c r="C288" s="75" t="s">
        <v>483</v>
      </c>
      <c r="D288" s="75" t="s">
        <v>497</v>
      </c>
      <c r="E288" s="103" t="n">
        <v>21.6</v>
      </c>
      <c r="F288" s="75" t="s">
        <v>190</v>
      </c>
    </row>
    <row r="289" customFormat="false" ht="14.25" hidden="true" customHeight="false" outlineLevel="0" collapsed="false">
      <c r="A289" s="66" t="s">
        <v>25</v>
      </c>
      <c r="B289" s="66" t="s">
        <v>471</v>
      </c>
      <c r="C289" s="66" t="s">
        <v>483</v>
      </c>
      <c r="D289" s="66" t="s">
        <v>498</v>
      </c>
      <c r="E289" s="102" t="n">
        <v>21.6</v>
      </c>
      <c r="F289" s="66" t="s">
        <v>190</v>
      </c>
    </row>
    <row r="290" customFormat="false" ht="14.25" hidden="true" customHeight="false" outlineLevel="0" collapsed="false">
      <c r="A290" s="75" t="s">
        <v>25</v>
      </c>
      <c r="B290" s="75" t="s">
        <v>471</v>
      </c>
      <c r="C290" s="75" t="s">
        <v>483</v>
      </c>
      <c r="D290" s="75" t="s">
        <v>499</v>
      </c>
      <c r="E290" s="103" t="n">
        <v>81</v>
      </c>
      <c r="F290" s="75" t="s">
        <v>190</v>
      </c>
    </row>
    <row r="291" customFormat="false" ht="14.25" hidden="true" customHeight="false" outlineLevel="0" collapsed="false">
      <c r="A291" s="66" t="s">
        <v>25</v>
      </c>
      <c r="B291" s="66" t="s">
        <v>471</v>
      </c>
      <c r="C291" s="66" t="s">
        <v>483</v>
      </c>
      <c r="D291" s="66" t="s">
        <v>500</v>
      </c>
      <c r="E291" s="102" t="n">
        <v>97.2</v>
      </c>
      <c r="F291" s="66" t="s">
        <v>190</v>
      </c>
    </row>
    <row r="292" customFormat="false" ht="14.25" hidden="true" customHeight="false" outlineLevel="0" collapsed="false">
      <c r="A292" s="75" t="s">
        <v>25</v>
      </c>
      <c r="B292" s="75" t="s">
        <v>471</v>
      </c>
      <c r="C292" s="75" t="s">
        <v>483</v>
      </c>
      <c r="D292" s="75" t="s">
        <v>501</v>
      </c>
      <c r="E292" s="103" t="n">
        <v>32.4</v>
      </c>
      <c r="F292" s="75" t="s">
        <v>175</v>
      </c>
    </row>
    <row r="293" customFormat="false" ht="14.25" hidden="true" customHeight="false" outlineLevel="0" collapsed="false">
      <c r="A293" s="66" t="s">
        <v>25</v>
      </c>
      <c r="B293" s="66" t="s">
        <v>471</v>
      </c>
      <c r="C293" s="66" t="s">
        <v>483</v>
      </c>
      <c r="D293" s="66" t="s">
        <v>502</v>
      </c>
      <c r="E293" s="102" t="n">
        <v>32.4</v>
      </c>
      <c r="F293" s="66" t="s">
        <v>175</v>
      </c>
    </row>
    <row r="294" customFormat="false" ht="14.25" hidden="true" customHeight="false" outlineLevel="0" collapsed="false">
      <c r="A294" s="75" t="s">
        <v>25</v>
      </c>
      <c r="B294" s="75" t="s">
        <v>471</v>
      </c>
      <c r="C294" s="75" t="s">
        <v>483</v>
      </c>
      <c r="D294" s="75" t="s">
        <v>503</v>
      </c>
      <c r="E294" s="103" t="n">
        <v>80</v>
      </c>
      <c r="F294" s="75" t="s">
        <v>177</v>
      </c>
    </row>
    <row r="295" customFormat="false" ht="14.25" hidden="true" customHeight="false" outlineLevel="0" collapsed="false">
      <c r="A295" s="66" t="s">
        <v>25</v>
      </c>
      <c r="B295" s="66" t="s">
        <v>471</v>
      </c>
      <c r="C295" s="66" t="s">
        <v>483</v>
      </c>
      <c r="D295" s="66" t="s">
        <v>504</v>
      </c>
      <c r="E295" s="102" t="n">
        <v>81</v>
      </c>
      <c r="F295" s="66" t="s">
        <v>190</v>
      </c>
    </row>
    <row r="296" customFormat="false" ht="14.25" hidden="true" customHeight="false" outlineLevel="0" collapsed="false">
      <c r="A296" s="75" t="s">
        <v>25</v>
      </c>
      <c r="B296" s="75" t="s">
        <v>471</v>
      </c>
      <c r="C296" s="75" t="s">
        <v>483</v>
      </c>
      <c r="D296" s="75" t="s">
        <v>505</v>
      </c>
      <c r="E296" s="103" t="n">
        <v>21.6</v>
      </c>
      <c r="F296" s="75" t="s">
        <v>175</v>
      </c>
    </row>
    <row r="297" customFormat="false" ht="14.25" hidden="true" customHeight="false" outlineLevel="0" collapsed="false">
      <c r="A297" s="66" t="s">
        <v>25</v>
      </c>
      <c r="B297" s="66" t="s">
        <v>471</v>
      </c>
      <c r="C297" s="66" t="s">
        <v>483</v>
      </c>
      <c r="D297" s="66" t="s">
        <v>506</v>
      </c>
      <c r="E297" s="102" t="n">
        <v>80</v>
      </c>
      <c r="F297" s="66" t="s">
        <v>177</v>
      </c>
    </row>
    <row r="298" customFormat="false" ht="14.25" hidden="true" customHeight="false" outlineLevel="0" collapsed="false">
      <c r="A298" s="75" t="s">
        <v>25</v>
      </c>
      <c r="B298" s="75" t="s">
        <v>471</v>
      </c>
      <c r="C298" s="75" t="s">
        <v>507</v>
      </c>
      <c r="D298" s="75" t="s">
        <v>508</v>
      </c>
      <c r="E298" s="103" t="n">
        <v>54</v>
      </c>
      <c r="F298" s="75" t="s">
        <v>190</v>
      </c>
    </row>
    <row r="299" customFormat="false" ht="14.25" hidden="true" customHeight="false" outlineLevel="0" collapsed="false">
      <c r="A299" s="66" t="s">
        <v>25</v>
      </c>
      <c r="B299" s="66" t="s">
        <v>56</v>
      </c>
      <c r="C299" s="66" t="s">
        <v>509</v>
      </c>
      <c r="D299" s="66" t="s">
        <v>510</v>
      </c>
      <c r="E299" s="102" t="n">
        <v>54</v>
      </c>
      <c r="F299" s="66" t="s">
        <v>175</v>
      </c>
    </row>
    <row r="300" customFormat="false" ht="14.25" hidden="true" customHeight="false" outlineLevel="0" collapsed="false">
      <c r="A300" s="75" t="s">
        <v>25</v>
      </c>
      <c r="B300" s="75" t="s">
        <v>56</v>
      </c>
      <c r="C300" s="75" t="s">
        <v>511</v>
      </c>
      <c r="D300" s="75" t="s">
        <v>512</v>
      </c>
      <c r="E300" s="103" t="n">
        <v>32.4</v>
      </c>
      <c r="F300" s="75" t="s">
        <v>175</v>
      </c>
    </row>
    <row r="301" customFormat="false" ht="14.25" hidden="true" customHeight="false" outlineLevel="0" collapsed="false">
      <c r="A301" s="66" t="s">
        <v>25</v>
      </c>
      <c r="B301" s="66" t="s">
        <v>56</v>
      </c>
      <c r="C301" s="66" t="s">
        <v>513</v>
      </c>
      <c r="D301" s="66" t="s">
        <v>514</v>
      </c>
      <c r="E301" s="102" t="n">
        <v>80</v>
      </c>
      <c r="F301" s="66" t="s">
        <v>177</v>
      </c>
    </row>
    <row r="302" customFormat="false" ht="14.25" hidden="true" customHeight="false" outlineLevel="0" collapsed="false">
      <c r="A302" s="75" t="s">
        <v>25</v>
      </c>
      <c r="B302" s="75" t="s">
        <v>56</v>
      </c>
      <c r="C302" s="75" t="s">
        <v>513</v>
      </c>
      <c r="D302" s="75" t="s">
        <v>515</v>
      </c>
      <c r="E302" s="103" t="n">
        <v>32.4</v>
      </c>
      <c r="F302" s="75" t="s">
        <v>175</v>
      </c>
    </row>
    <row r="303" customFormat="false" ht="14.25" hidden="true" customHeight="false" outlineLevel="0" collapsed="false">
      <c r="A303" s="66" t="s">
        <v>25</v>
      </c>
      <c r="B303" s="66" t="s">
        <v>56</v>
      </c>
      <c r="C303" s="66" t="s">
        <v>513</v>
      </c>
      <c r="D303" s="66" t="s">
        <v>516</v>
      </c>
      <c r="E303" s="102" t="n">
        <v>32.4</v>
      </c>
      <c r="F303" s="66" t="s">
        <v>175</v>
      </c>
    </row>
    <row r="304" customFormat="false" ht="14.25" hidden="true" customHeight="false" outlineLevel="0" collapsed="false">
      <c r="A304" s="75" t="s">
        <v>25</v>
      </c>
      <c r="B304" s="75" t="s">
        <v>56</v>
      </c>
      <c r="C304" s="75" t="s">
        <v>513</v>
      </c>
      <c r="D304" s="75" t="s">
        <v>517</v>
      </c>
      <c r="E304" s="103" t="n">
        <v>80</v>
      </c>
      <c r="F304" s="75" t="s">
        <v>177</v>
      </c>
    </row>
    <row r="305" customFormat="false" ht="14.25" hidden="true" customHeight="false" outlineLevel="0" collapsed="false">
      <c r="A305" s="66" t="s">
        <v>25</v>
      </c>
      <c r="B305" s="66" t="s">
        <v>56</v>
      </c>
      <c r="C305" s="66" t="s">
        <v>518</v>
      </c>
      <c r="D305" s="66" t="s">
        <v>519</v>
      </c>
      <c r="E305" s="102" t="n">
        <v>54</v>
      </c>
      <c r="F305" s="66" t="s">
        <v>175</v>
      </c>
    </row>
    <row r="306" customFormat="false" ht="14.25" hidden="true" customHeight="false" outlineLevel="0" collapsed="false">
      <c r="A306" s="75" t="s">
        <v>25</v>
      </c>
      <c r="B306" s="75" t="s">
        <v>56</v>
      </c>
      <c r="C306" s="75" t="s">
        <v>518</v>
      </c>
      <c r="D306" s="75" t="s">
        <v>520</v>
      </c>
      <c r="E306" s="103" t="n">
        <v>81</v>
      </c>
      <c r="F306" s="75" t="s">
        <v>175</v>
      </c>
    </row>
    <row r="307" customFormat="false" ht="14.25" hidden="true" customHeight="false" outlineLevel="0" collapsed="false">
      <c r="A307" s="66" t="s">
        <v>25</v>
      </c>
      <c r="B307" s="66" t="s">
        <v>56</v>
      </c>
      <c r="C307" s="66" t="s">
        <v>521</v>
      </c>
      <c r="D307" s="66" t="s">
        <v>522</v>
      </c>
      <c r="E307" s="102" t="n">
        <v>81</v>
      </c>
      <c r="F307" s="66" t="s">
        <v>175</v>
      </c>
    </row>
    <row r="308" customFormat="false" ht="14.25" hidden="true" customHeight="false" outlineLevel="0" collapsed="false">
      <c r="A308" s="75" t="s">
        <v>25</v>
      </c>
      <c r="B308" s="75" t="s">
        <v>56</v>
      </c>
      <c r="C308" s="75" t="s">
        <v>521</v>
      </c>
      <c r="D308" s="75" t="s">
        <v>523</v>
      </c>
      <c r="E308" s="103" t="n">
        <v>81</v>
      </c>
      <c r="F308" s="75" t="s">
        <v>175</v>
      </c>
    </row>
    <row r="309" customFormat="false" ht="14.25" hidden="true" customHeight="false" outlineLevel="0" collapsed="false">
      <c r="A309" s="66" t="s">
        <v>25</v>
      </c>
      <c r="B309" s="66" t="s">
        <v>56</v>
      </c>
      <c r="C309" s="66" t="s">
        <v>521</v>
      </c>
      <c r="D309" s="66" t="s">
        <v>524</v>
      </c>
      <c r="E309" s="102" t="n">
        <v>32.4</v>
      </c>
      <c r="F309" s="66" t="s">
        <v>175</v>
      </c>
    </row>
    <row r="310" customFormat="false" ht="14.25" hidden="true" customHeight="false" outlineLevel="0" collapsed="false">
      <c r="A310" s="75" t="s">
        <v>25</v>
      </c>
      <c r="B310" s="75" t="s">
        <v>56</v>
      </c>
      <c r="C310" s="75" t="s">
        <v>521</v>
      </c>
      <c r="D310" s="75" t="s">
        <v>525</v>
      </c>
      <c r="E310" s="103" t="n">
        <v>32.4</v>
      </c>
      <c r="F310" s="75" t="s">
        <v>175</v>
      </c>
    </row>
    <row r="311" customFormat="false" ht="14.25" hidden="true" customHeight="false" outlineLevel="0" collapsed="false">
      <c r="A311" s="66" t="s">
        <v>25</v>
      </c>
      <c r="B311" s="66" t="s">
        <v>56</v>
      </c>
      <c r="C311" s="66" t="s">
        <v>521</v>
      </c>
      <c r="D311" s="66" t="s">
        <v>526</v>
      </c>
      <c r="E311" s="102" t="n">
        <v>32.4</v>
      </c>
      <c r="F311" s="66" t="s">
        <v>175</v>
      </c>
    </row>
    <row r="312" customFormat="false" ht="14.25" hidden="true" customHeight="false" outlineLevel="0" collapsed="false">
      <c r="A312" s="75" t="s">
        <v>25</v>
      </c>
      <c r="B312" s="75" t="s">
        <v>56</v>
      </c>
      <c r="C312" s="75" t="s">
        <v>521</v>
      </c>
      <c r="D312" s="75" t="s">
        <v>527</v>
      </c>
      <c r="E312" s="103" t="n">
        <v>54</v>
      </c>
      <c r="F312" s="75" t="s">
        <v>175</v>
      </c>
    </row>
    <row r="313" customFormat="false" ht="14.25" hidden="true" customHeight="false" outlineLevel="0" collapsed="false">
      <c r="A313" s="66" t="s">
        <v>25</v>
      </c>
      <c r="B313" s="66" t="s">
        <v>56</v>
      </c>
      <c r="C313" s="66" t="s">
        <v>521</v>
      </c>
      <c r="D313" s="66" t="s">
        <v>528</v>
      </c>
      <c r="E313" s="102" t="n">
        <v>183.6</v>
      </c>
      <c r="F313" s="66" t="s">
        <v>175</v>
      </c>
    </row>
    <row r="314" customFormat="false" ht="14.25" hidden="true" customHeight="false" outlineLevel="0" collapsed="false">
      <c r="A314" s="75" t="s">
        <v>25</v>
      </c>
      <c r="B314" s="75" t="s">
        <v>56</v>
      </c>
      <c r="C314" s="75" t="s">
        <v>521</v>
      </c>
      <c r="D314" s="75" t="s">
        <v>529</v>
      </c>
      <c r="E314" s="103" t="n">
        <v>32.4</v>
      </c>
      <c r="F314" s="75" t="s">
        <v>175</v>
      </c>
    </row>
    <row r="315" customFormat="false" ht="14.25" hidden="true" customHeight="false" outlineLevel="0" collapsed="false">
      <c r="A315" s="66" t="s">
        <v>32</v>
      </c>
      <c r="B315" s="66" t="s">
        <v>33</v>
      </c>
      <c r="C315" s="66" t="s">
        <v>530</v>
      </c>
      <c r="D315" s="66" t="s">
        <v>531</v>
      </c>
      <c r="E315" s="102" t="n">
        <v>21.6</v>
      </c>
      <c r="F315" s="66" t="s">
        <v>190</v>
      </c>
    </row>
    <row r="316" customFormat="false" ht="14.25" hidden="true" customHeight="false" outlineLevel="0" collapsed="false">
      <c r="A316" s="75" t="s">
        <v>32</v>
      </c>
      <c r="B316" s="75" t="s">
        <v>33</v>
      </c>
      <c r="C316" s="75" t="s">
        <v>530</v>
      </c>
      <c r="D316" s="75" t="s">
        <v>532</v>
      </c>
      <c r="E316" s="103" t="n">
        <v>81</v>
      </c>
      <c r="F316" s="75" t="s">
        <v>175</v>
      </c>
    </row>
    <row r="317" customFormat="false" ht="14.25" hidden="true" customHeight="false" outlineLevel="0" collapsed="false">
      <c r="A317" s="66" t="s">
        <v>32</v>
      </c>
      <c r="B317" s="66" t="s">
        <v>33</v>
      </c>
      <c r="C317" s="66" t="s">
        <v>530</v>
      </c>
      <c r="D317" s="66" t="s">
        <v>533</v>
      </c>
      <c r="E317" s="102" t="n">
        <v>140.4</v>
      </c>
      <c r="F317" s="66" t="s">
        <v>175</v>
      </c>
    </row>
    <row r="318" customFormat="false" ht="14.25" hidden="true" customHeight="false" outlineLevel="0" collapsed="false">
      <c r="A318" s="75" t="s">
        <v>32</v>
      </c>
      <c r="B318" s="75" t="s">
        <v>33</v>
      </c>
      <c r="C318" s="75" t="s">
        <v>530</v>
      </c>
      <c r="D318" s="75" t="s">
        <v>534</v>
      </c>
      <c r="E318" s="103" t="n">
        <v>140.4</v>
      </c>
      <c r="F318" s="75" t="s">
        <v>190</v>
      </c>
    </row>
    <row r="319" customFormat="false" ht="14.25" hidden="true" customHeight="false" outlineLevel="0" collapsed="false">
      <c r="A319" s="66" t="s">
        <v>32</v>
      </c>
      <c r="B319" s="66" t="s">
        <v>33</v>
      </c>
      <c r="C319" s="66" t="s">
        <v>530</v>
      </c>
      <c r="D319" s="66" t="s">
        <v>535</v>
      </c>
      <c r="E319" s="102" t="n">
        <v>81</v>
      </c>
      <c r="F319" s="66" t="s">
        <v>190</v>
      </c>
    </row>
    <row r="320" customFormat="false" ht="14.25" hidden="true" customHeight="false" outlineLevel="0" collapsed="false">
      <c r="A320" s="75" t="s">
        <v>32</v>
      </c>
      <c r="B320" s="75" t="s">
        <v>33</v>
      </c>
      <c r="C320" s="75" t="s">
        <v>536</v>
      </c>
      <c r="D320" s="75" t="s">
        <v>537</v>
      </c>
      <c r="E320" s="103" t="n">
        <v>54</v>
      </c>
      <c r="F320" s="75" t="s">
        <v>175</v>
      </c>
    </row>
    <row r="321" customFormat="false" ht="14.25" hidden="true" customHeight="false" outlineLevel="0" collapsed="false">
      <c r="A321" s="66" t="s">
        <v>32</v>
      </c>
      <c r="B321" s="66" t="s">
        <v>33</v>
      </c>
      <c r="C321" s="66" t="s">
        <v>538</v>
      </c>
      <c r="D321" s="66" t="s">
        <v>539</v>
      </c>
      <c r="E321" s="102" t="n">
        <v>81</v>
      </c>
      <c r="F321" s="66" t="s">
        <v>175</v>
      </c>
    </row>
    <row r="322" customFormat="false" ht="14.25" hidden="true" customHeight="false" outlineLevel="0" collapsed="false">
      <c r="A322" s="75" t="s">
        <v>32</v>
      </c>
      <c r="B322" s="75" t="s">
        <v>33</v>
      </c>
      <c r="C322" s="75" t="s">
        <v>538</v>
      </c>
      <c r="D322" s="75" t="s">
        <v>540</v>
      </c>
      <c r="E322" s="103" t="n">
        <v>183.6</v>
      </c>
      <c r="F322" s="75" t="s">
        <v>190</v>
      </c>
    </row>
    <row r="323" customFormat="false" ht="14.25" hidden="true" customHeight="false" outlineLevel="0" collapsed="false">
      <c r="A323" s="66" t="s">
        <v>32</v>
      </c>
      <c r="B323" s="66" t="s">
        <v>33</v>
      </c>
      <c r="C323" s="66" t="s">
        <v>538</v>
      </c>
      <c r="D323" s="66" t="s">
        <v>541</v>
      </c>
      <c r="E323" s="102" t="n">
        <v>140.4</v>
      </c>
      <c r="F323" s="66" t="s">
        <v>190</v>
      </c>
    </row>
    <row r="324" customFormat="false" ht="14.25" hidden="true" customHeight="false" outlineLevel="0" collapsed="false">
      <c r="A324" s="75" t="s">
        <v>32</v>
      </c>
      <c r="B324" s="75" t="s">
        <v>33</v>
      </c>
      <c r="C324" s="75" t="s">
        <v>538</v>
      </c>
      <c r="D324" s="75" t="s">
        <v>542</v>
      </c>
      <c r="E324" s="103" t="n">
        <v>32.4</v>
      </c>
      <c r="F324" s="75" t="s">
        <v>190</v>
      </c>
    </row>
    <row r="325" customFormat="false" ht="14.25" hidden="true" customHeight="false" outlineLevel="0" collapsed="false">
      <c r="A325" s="66" t="s">
        <v>32</v>
      </c>
      <c r="B325" s="66" t="s">
        <v>33</v>
      </c>
      <c r="C325" s="66" t="s">
        <v>538</v>
      </c>
      <c r="D325" s="66" t="s">
        <v>543</v>
      </c>
      <c r="E325" s="102" t="n">
        <v>54</v>
      </c>
      <c r="F325" s="66" t="s">
        <v>190</v>
      </c>
    </row>
    <row r="326" customFormat="false" ht="14.25" hidden="true" customHeight="false" outlineLevel="0" collapsed="false">
      <c r="A326" s="75" t="s">
        <v>32</v>
      </c>
      <c r="B326" s="75" t="s">
        <v>33</v>
      </c>
      <c r="C326" s="75" t="s">
        <v>538</v>
      </c>
      <c r="D326" s="75" t="s">
        <v>544</v>
      </c>
      <c r="E326" s="103" t="n">
        <v>97.2</v>
      </c>
      <c r="F326" s="75" t="s">
        <v>190</v>
      </c>
    </row>
    <row r="327" customFormat="false" ht="14.25" hidden="true" customHeight="false" outlineLevel="0" collapsed="false">
      <c r="A327" s="66" t="s">
        <v>32</v>
      </c>
      <c r="B327" s="66" t="s">
        <v>33</v>
      </c>
      <c r="C327" s="66" t="s">
        <v>538</v>
      </c>
      <c r="D327" s="66" t="s">
        <v>545</v>
      </c>
      <c r="E327" s="102" t="n">
        <v>97.2</v>
      </c>
      <c r="F327" s="66" t="s">
        <v>190</v>
      </c>
    </row>
    <row r="328" customFormat="false" ht="14.25" hidden="true" customHeight="false" outlineLevel="0" collapsed="false">
      <c r="A328" s="75" t="s">
        <v>32</v>
      </c>
      <c r="B328" s="75" t="s">
        <v>33</v>
      </c>
      <c r="C328" s="75" t="s">
        <v>538</v>
      </c>
      <c r="D328" s="75" t="s">
        <v>546</v>
      </c>
      <c r="E328" s="103" t="n">
        <v>97.2</v>
      </c>
      <c r="F328" s="75" t="s">
        <v>175</v>
      </c>
    </row>
    <row r="329" customFormat="false" ht="14.25" hidden="true" customHeight="false" outlineLevel="0" collapsed="false">
      <c r="A329" s="66" t="s">
        <v>32</v>
      </c>
      <c r="B329" s="66" t="s">
        <v>33</v>
      </c>
      <c r="C329" s="66" t="s">
        <v>547</v>
      </c>
      <c r="D329" s="66" t="s">
        <v>548</v>
      </c>
      <c r="E329" s="102" t="n">
        <v>32.4</v>
      </c>
      <c r="F329" s="66" t="s">
        <v>175</v>
      </c>
    </row>
    <row r="330" customFormat="false" ht="14.25" hidden="true" customHeight="false" outlineLevel="0" collapsed="false">
      <c r="A330" s="75" t="s">
        <v>32</v>
      </c>
      <c r="B330" s="75" t="s">
        <v>33</v>
      </c>
      <c r="C330" s="75" t="s">
        <v>547</v>
      </c>
      <c r="D330" s="75" t="s">
        <v>549</v>
      </c>
      <c r="E330" s="103" t="n">
        <v>183.6</v>
      </c>
      <c r="F330" s="75" t="s">
        <v>190</v>
      </c>
    </row>
    <row r="331" customFormat="false" ht="14.25" hidden="true" customHeight="false" outlineLevel="0" collapsed="false">
      <c r="A331" s="66" t="s">
        <v>32</v>
      </c>
      <c r="B331" s="66" t="s">
        <v>33</v>
      </c>
      <c r="C331" s="66" t="s">
        <v>547</v>
      </c>
      <c r="D331" s="66" t="s">
        <v>550</v>
      </c>
      <c r="E331" s="102" t="n">
        <v>81</v>
      </c>
      <c r="F331" s="66" t="s">
        <v>175</v>
      </c>
    </row>
    <row r="332" customFormat="false" ht="14.25" hidden="true" customHeight="false" outlineLevel="0" collapsed="false">
      <c r="A332" s="75" t="s">
        <v>32</v>
      </c>
      <c r="B332" s="75" t="s">
        <v>33</v>
      </c>
      <c r="C332" s="75" t="s">
        <v>547</v>
      </c>
      <c r="D332" s="75" t="s">
        <v>551</v>
      </c>
      <c r="E332" s="103" t="n">
        <v>183.6</v>
      </c>
      <c r="F332" s="75" t="s">
        <v>190</v>
      </c>
    </row>
    <row r="333" customFormat="false" ht="14.25" hidden="true" customHeight="false" outlineLevel="0" collapsed="false">
      <c r="A333" s="66" t="s">
        <v>32</v>
      </c>
      <c r="B333" s="66" t="s">
        <v>33</v>
      </c>
      <c r="C333" s="66" t="s">
        <v>547</v>
      </c>
      <c r="D333" s="66" t="s">
        <v>552</v>
      </c>
      <c r="E333" s="102" t="n">
        <v>140.4</v>
      </c>
      <c r="F333" s="66" t="s">
        <v>190</v>
      </c>
    </row>
    <row r="334" customFormat="false" ht="14.25" hidden="true" customHeight="false" outlineLevel="0" collapsed="false">
      <c r="A334" s="75" t="s">
        <v>32</v>
      </c>
      <c r="B334" s="75" t="s">
        <v>33</v>
      </c>
      <c r="C334" s="75" t="s">
        <v>547</v>
      </c>
      <c r="D334" s="75" t="s">
        <v>553</v>
      </c>
      <c r="E334" s="103" t="n">
        <v>97.2</v>
      </c>
      <c r="F334" s="75" t="s">
        <v>190</v>
      </c>
    </row>
    <row r="335" customFormat="false" ht="14.25" hidden="true" customHeight="false" outlineLevel="0" collapsed="false">
      <c r="A335" s="66" t="s">
        <v>32</v>
      </c>
      <c r="B335" s="66" t="s">
        <v>33</v>
      </c>
      <c r="C335" s="66" t="s">
        <v>547</v>
      </c>
      <c r="D335" s="66" t="s">
        <v>554</v>
      </c>
      <c r="E335" s="102" t="n">
        <v>140.4</v>
      </c>
      <c r="F335" s="66" t="s">
        <v>190</v>
      </c>
    </row>
    <row r="336" customFormat="false" ht="14.25" hidden="true" customHeight="false" outlineLevel="0" collapsed="false">
      <c r="A336" s="75" t="s">
        <v>32</v>
      </c>
      <c r="B336" s="75" t="s">
        <v>33</v>
      </c>
      <c r="C336" s="75" t="s">
        <v>547</v>
      </c>
      <c r="D336" s="75" t="s">
        <v>555</v>
      </c>
      <c r="E336" s="103" t="n">
        <v>81</v>
      </c>
      <c r="F336" s="75" t="s">
        <v>175</v>
      </c>
    </row>
    <row r="337" customFormat="false" ht="14.25" hidden="true" customHeight="false" outlineLevel="0" collapsed="false">
      <c r="A337" s="66" t="s">
        <v>32</v>
      </c>
      <c r="B337" s="66" t="s">
        <v>33</v>
      </c>
      <c r="C337" s="66" t="s">
        <v>547</v>
      </c>
      <c r="D337" s="66" t="s">
        <v>556</v>
      </c>
      <c r="E337" s="102" t="n">
        <v>54</v>
      </c>
      <c r="F337" s="66" t="s">
        <v>175</v>
      </c>
    </row>
    <row r="338" customFormat="false" ht="14.25" hidden="true" customHeight="false" outlineLevel="0" collapsed="false">
      <c r="A338" s="75" t="s">
        <v>32</v>
      </c>
      <c r="B338" s="75" t="s">
        <v>33</v>
      </c>
      <c r="C338" s="75" t="s">
        <v>547</v>
      </c>
      <c r="D338" s="75" t="s">
        <v>557</v>
      </c>
      <c r="E338" s="103" t="n">
        <v>21.6</v>
      </c>
      <c r="F338" s="75" t="s">
        <v>190</v>
      </c>
    </row>
    <row r="339" customFormat="false" ht="14.25" hidden="true" customHeight="false" outlineLevel="0" collapsed="false">
      <c r="A339" s="66" t="s">
        <v>32</v>
      </c>
      <c r="B339" s="66" t="s">
        <v>33</v>
      </c>
      <c r="C339" s="66" t="s">
        <v>558</v>
      </c>
      <c r="D339" s="66" t="s">
        <v>559</v>
      </c>
      <c r="E339" s="102" t="n">
        <v>32.4</v>
      </c>
      <c r="F339" s="66" t="s">
        <v>190</v>
      </c>
    </row>
    <row r="340" customFormat="false" ht="14.25" hidden="true" customHeight="false" outlineLevel="0" collapsed="false">
      <c r="A340" s="75" t="s">
        <v>32</v>
      </c>
      <c r="B340" s="75" t="s">
        <v>33</v>
      </c>
      <c r="C340" s="75" t="s">
        <v>558</v>
      </c>
      <c r="D340" s="75" t="s">
        <v>560</v>
      </c>
      <c r="E340" s="103" t="n">
        <v>81</v>
      </c>
      <c r="F340" s="75" t="s">
        <v>175</v>
      </c>
    </row>
    <row r="341" customFormat="false" ht="14.25" hidden="true" customHeight="false" outlineLevel="0" collapsed="false">
      <c r="A341" s="66" t="s">
        <v>32</v>
      </c>
      <c r="B341" s="66" t="s">
        <v>33</v>
      </c>
      <c r="C341" s="66" t="s">
        <v>558</v>
      </c>
      <c r="D341" s="66" t="s">
        <v>561</v>
      </c>
      <c r="E341" s="102" t="n">
        <v>54</v>
      </c>
      <c r="F341" s="66" t="s">
        <v>190</v>
      </c>
    </row>
    <row r="342" customFormat="false" ht="14.25" hidden="true" customHeight="false" outlineLevel="0" collapsed="false">
      <c r="A342" s="75" t="s">
        <v>32</v>
      </c>
      <c r="B342" s="75" t="s">
        <v>33</v>
      </c>
      <c r="C342" s="75" t="s">
        <v>558</v>
      </c>
      <c r="D342" s="75" t="s">
        <v>562</v>
      </c>
      <c r="E342" s="103" t="n">
        <v>54</v>
      </c>
      <c r="F342" s="75" t="s">
        <v>175</v>
      </c>
    </row>
    <row r="343" customFormat="false" ht="14.25" hidden="true" customHeight="false" outlineLevel="0" collapsed="false">
      <c r="A343" s="66" t="s">
        <v>32</v>
      </c>
      <c r="B343" s="66" t="s">
        <v>33</v>
      </c>
      <c r="C343" s="66" t="s">
        <v>558</v>
      </c>
      <c r="D343" s="66" t="s">
        <v>563</v>
      </c>
      <c r="E343" s="102" t="n">
        <v>81</v>
      </c>
      <c r="F343" s="66" t="s">
        <v>175</v>
      </c>
    </row>
    <row r="344" customFormat="false" ht="14.25" hidden="true" customHeight="false" outlineLevel="0" collapsed="false">
      <c r="A344" s="75" t="s">
        <v>32</v>
      </c>
      <c r="B344" s="75" t="s">
        <v>33</v>
      </c>
      <c r="C344" s="75" t="s">
        <v>564</v>
      </c>
      <c r="D344" s="75" t="s">
        <v>565</v>
      </c>
      <c r="E344" s="103" t="n">
        <v>183.6</v>
      </c>
      <c r="F344" s="75" t="s">
        <v>175</v>
      </c>
    </row>
    <row r="345" customFormat="false" ht="14.25" hidden="true" customHeight="false" outlineLevel="0" collapsed="false">
      <c r="A345" s="66" t="s">
        <v>32</v>
      </c>
      <c r="B345" s="66" t="s">
        <v>33</v>
      </c>
      <c r="C345" s="66" t="s">
        <v>564</v>
      </c>
      <c r="D345" s="66" t="s">
        <v>566</v>
      </c>
      <c r="E345" s="102" t="n">
        <v>32.4</v>
      </c>
      <c r="F345" s="66" t="s">
        <v>190</v>
      </c>
    </row>
    <row r="346" customFormat="false" ht="14.25" hidden="true" customHeight="false" outlineLevel="0" collapsed="false">
      <c r="A346" s="75" t="s">
        <v>32</v>
      </c>
      <c r="B346" s="75" t="s">
        <v>33</v>
      </c>
      <c r="C346" s="75" t="s">
        <v>564</v>
      </c>
      <c r="D346" s="75" t="s">
        <v>567</v>
      </c>
      <c r="E346" s="103" t="n">
        <v>54</v>
      </c>
      <c r="F346" s="75" t="s">
        <v>190</v>
      </c>
    </row>
    <row r="347" customFormat="false" ht="14.25" hidden="true" customHeight="false" outlineLevel="0" collapsed="false">
      <c r="A347" s="66" t="s">
        <v>32</v>
      </c>
      <c r="B347" s="66" t="s">
        <v>33</v>
      </c>
      <c r="C347" s="66" t="s">
        <v>564</v>
      </c>
      <c r="D347" s="66" t="s">
        <v>568</v>
      </c>
      <c r="E347" s="102" t="n">
        <v>81</v>
      </c>
      <c r="F347" s="66" t="s">
        <v>190</v>
      </c>
    </row>
    <row r="348" customFormat="false" ht="14.25" hidden="true" customHeight="false" outlineLevel="0" collapsed="false">
      <c r="A348" s="75" t="s">
        <v>32</v>
      </c>
      <c r="B348" s="75" t="s">
        <v>33</v>
      </c>
      <c r="C348" s="75" t="s">
        <v>564</v>
      </c>
      <c r="D348" s="75" t="s">
        <v>569</v>
      </c>
      <c r="E348" s="103" t="n">
        <v>140.4</v>
      </c>
      <c r="F348" s="75" t="s">
        <v>190</v>
      </c>
    </row>
    <row r="349" customFormat="false" ht="14.25" hidden="true" customHeight="false" outlineLevel="0" collapsed="false">
      <c r="A349" s="66" t="s">
        <v>34</v>
      </c>
      <c r="B349" s="66" t="s">
        <v>35</v>
      </c>
      <c r="C349" s="66" t="s">
        <v>570</v>
      </c>
      <c r="D349" s="66" t="s">
        <v>571</v>
      </c>
      <c r="E349" s="102" t="n">
        <v>81</v>
      </c>
      <c r="F349" s="66" t="s">
        <v>190</v>
      </c>
    </row>
    <row r="350" customFormat="false" ht="14.25" hidden="true" customHeight="false" outlineLevel="0" collapsed="false">
      <c r="A350" s="75" t="s">
        <v>34</v>
      </c>
      <c r="B350" s="75" t="s">
        <v>35</v>
      </c>
      <c r="C350" s="75" t="s">
        <v>570</v>
      </c>
      <c r="D350" s="75" t="s">
        <v>572</v>
      </c>
      <c r="E350" s="103" t="n">
        <v>183.6</v>
      </c>
      <c r="F350" s="75" t="s">
        <v>190</v>
      </c>
    </row>
    <row r="351" customFormat="false" ht="14.25" hidden="true" customHeight="false" outlineLevel="0" collapsed="false">
      <c r="A351" s="66" t="s">
        <v>34</v>
      </c>
      <c r="B351" s="66" t="s">
        <v>35</v>
      </c>
      <c r="C351" s="66" t="s">
        <v>570</v>
      </c>
      <c r="D351" s="66" t="s">
        <v>573</v>
      </c>
      <c r="E351" s="102" t="n">
        <v>32.4</v>
      </c>
      <c r="F351" s="66" t="s">
        <v>190</v>
      </c>
    </row>
    <row r="352" customFormat="false" ht="14.25" hidden="true" customHeight="false" outlineLevel="0" collapsed="false">
      <c r="A352" s="75" t="s">
        <v>34</v>
      </c>
      <c r="B352" s="75" t="s">
        <v>35</v>
      </c>
      <c r="C352" s="75" t="s">
        <v>570</v>
      </c>
      <c r="D352" s="75" t="s">
        <v>574</v>
      </c>
      <c r="E352" s="103" t="n">
        <v>30</v>
      </c>
      <c r="F352" s="75" t="s">
        <v>177</v>
      </c>
    </row>
    <row r="353" customFormat="false" ht="14.25" hidden="true" customHeight="false" outlineLevel="0" collapsed="false">
      <c r="A353" s="66" t="s">
        <v>34</v>
      </c>
      <c r="B353" s="66" t="s">
        <v>35</v>
      </c>
      <c r="C353" s="66" t="s">
        <v>570</v>
      </c>
      <c r="D353" s="66" t="s">
        <v>575</v>
      </c>
      <c r="E353" s="102" t="n">
        <v>81</v>
      </c>
      <c r="F353" s="66" t="s">
        <v>175</v>
      </c>
    </row>
    <row r="354" customFormat="false" ht="14.25" hidden="true" customHeight="false" outlineLevel="0" collapsed="false">
      <c r="A354" s="75" t="s">
        <v>34</v>
      </c>
      <c r="B354" s="75" t="s">
        <v>35</v>
      </c>
      <c r="C354" s="75" t="s">
        <v>570</v>
      </c>
      <c r="D354" s="75" t="s">
        <v>576</v>
      </c>
      <c r="E354" s="103" t="n">
        <v>81</v>
      </c>
      <c r="F354" s="75" t="s">
        <v>190</v>
      </c>
    </row>
    <row r="355" customFormat="false" ht="14.25" hidden="true" customHeight="false" outlineLevel="0" collapsed="false">
      <c r="A355" s="66" t="s">
        <v>34</v>
      </c>
      <c r="B355" s="66" t="s">
        <v>35</v>
      </c>
      <c r="C355" s="66" t="s">
        <v>577</v>
      </c>
      <c r="D355" s="66" t="s">
        <v>578</v>
      </c>
      <c r="E355" s="102" t="n">
        <v>80</v>
      </c>
      <c r="F355" s="66" t="s">
        <v>177</v>
      </c>
    </row>
    <row r="356" customFormat="false" ht="14.25" hidden="true" customHeight="false" outlineLevel="0" collapsed="false">
      <c r="A356" s="75" t="s">
        <v>34</v>
      </c>
      <c r="B356" s="75" t="s">
        <v>35</v>
      </c>
      <c r="C356" s="75" t="s">
        <v>577</v>
      </c>
      <c r="D356" s="75" t="s">
        <v>579</v>
      </c>
      <c r="E356" s="103" t="n">
        <v>183.6</v>
      </c>
      <c r="F356" s="75" t="s">
        <v>190</v>
      </c>
    </row>
    <row r="357" customFormat="false" ht="14.25" hidden="true" customHeight="false" outlineLevel="0" collapsed="false">
      <c r="A357" s="66" t="s">
        <v>34</v>
      </c>
      <c r="B357" s="66" t="s">
        <v>35</v>
      </c>
      <c r="C357" s="66" t="s">
        <v>577</v>
      </c>
      <c r="D357" s="66" t="s">
        <v>580</v>
      </c>
      <c r="E357" s="102" t="n">
        <v>32.4</v>
      </c>
      <c r="F357" s="66" t="s">
        <v>175</v>
      </c>
    </row>
    <row r="358" customFormat="false" ht="14.25" hidden="true" customHeight="false" outlineLevel="0" collapsed="false">
      <c r="A358" s="75" t="s">
        <v>34</v>
      </c>
      <c r="B358" s="75" t="s">
        <v>35</v>
      </c>
      <c r="C358" s="75" t="s">
        <v>577</v>
      </c>
      <c r="D358" s="75" t="s">
        <v>581</v>
      </c>
      <c r="E358" s="103" t="n">
        <v>80</v>
      </c>
      <c r="F358" s="75" t="s">
        <v>177</v>
      </c>
    </row>
    <row r="359" customFormat="false" ht="14.25" hidden="true" customHeight="false" outlineLevel="0" collapsed="false">
      <c r="A359" s="66" t="s">
        <v>34</v>
      </c>
      <c r="B359" s="66" t="s">
        <v>35</v>
      </c>
      <c r="C359" s="66" t="s">
        <v>577</v>
      </c>
      <c r="D359" s="66" t="s">
        <v>582</v>
      </c>
      <c r="E359" s="102" t="n">
        <v>140.4</v>
      </c>
      <c r="F359" s="66" t="s">
        <v>175</v>
      </c>
    </row>
    <row r="360" customFormat="false" ht="14.25" hidden="true" customHeight="false" outlineLevel="0" collapsed="false">
      <c r="A360" s="75" t="s">
        <v>34</v>
      </c>
      <c r="B360" s="75" t="s">
        <v>35</v>
      </c>
      <c r="C360" s="75" t="s">
        <v>577</v>
      </c>
      <c r="D360" s="75" t="s">
        <v>583</v>
      </c>
      <c r="E360" s="103" t="n">
        <v>80</v>
      </c>
      <c r="F360" s="75" t="s">
        <v>177</v>
      </c>
    </row>
    <row r="361" customFormat="false" ht="14.25" hidden="true" customHeight="false" outlineLevel="0" collapsed="false">
      <c r="A361" s="66" t="s">
        <v>34</v>
      </c>
      <c r="B361" s="66" t="s">
        <v>35</v>
      </c>
      <c r="C361" s="66" t="s">
        <v>577</v>
      </c>
      <c r="D361" s="66" t="s">
        <v>584</v>
      </c>
      <c r="E361" s="102" t="n">
        <v>54</v>
      </c>
      <c r="F361" s="66" t="s">
        <v>175</v>
      </c>
    </row>
    <row r="362" customFormat="false" ht="14.25" hidden="true" customHeight="false" outlineLevel="0" collapsed="false">
      <c r="A362" s="75" t="s">
        <v>34</v>
      </c>
      <c r="B362" s="75" t="s">
        <v>35</v>
      </c>
      <c r="C362" s="75" t="s">
        <v>577</v>
      </c>
      <c r="D362" s="75" t="s">
        <v>585</v>
      </c>
      <c r="E362" s="103" t="n">
        <v>80</v>
      </c>
      <c r="F362" s="75" t="s">
        <v>177</v>
      </c>
    </row>
    <row r="363" customFormat="false" ht="14.25" hidden="true" customHeight="false" outlineLevel="0" collapsed="false">
      <c r="A363" s="66" t="s">
        <v>34</v>
      </c>
      <c r="B363" s="66" t="s">
        <v>35</v>
      </c>
      <c r="C363" s="66" t="s">
        <v>586</v>
      </c>
      <c r="D363" s="66" t="s">
        <v>587</v>
      </c>
      <c r="E363" s="102" t="n">
        <v>80</v>
      </c>
      <c r="F363" s="66" t="s">
        <v>177</v>
      </c>
    </row>
    <row r="364" customFormat="false" ht="14.25" hidden="true" customHeight="false" outlineLevel="0" collapsed="false">
      <c r="A364" s="75" t="s">
        <v>34</v>
      </c>
      <c r="B364" s="75" t="s">
        <v>35</v>
      </c>
      <c r="C364" s="75" t="s">
        <v>586</v>
      </c>
      <c r="D364" s="75" t="s">
        <v>588</v>
      </c>
      <c r="E364" s="103" t="n">
        <v>80</v>
      </c>
      <c r="F364" s="75" t="s">
        <v>177</v>
      </c>
    </row>
    <row r="365" customFormat="false" ht="14.25" hidden="true" customHeight="false" outlineLevel="0" collapsed="false">
      <c r="A365" s="66" t="s">
        <v>34</v>
      </c>
      <c r="B365" s="66" t="s">
        <v>35</v>
      </c>
      <c r="C365" s="66" t="s">
        <v>586</v>
      </c>
      <c r="D365" s="66" t="s">
        <v>589</v>
      </c>
      <c r="E365" s="102" t="n">
        <v>81</v>
      </c>
      <c r="F365" s="66" t="s">
        <v>190</v>
      </c>
    </row>
    <row r="366" customFormat="false" ht="14.25" hidden="true" customHeight="false" outlineLevel="0" collapsed="false">
      <c r="A366" s="75" t="s">
        <v>34</v>
      </c>
      <c r="B366" s="75" t="s">
        <v>35</v>
      </c>
      <c r="C366" s="75" t="s">
        <v>586</v>
      </c>
      <c r="D366" s="75" t="s">
        <v>590</v>
      </c>
      <c r="E366" s="103" t="n">
        <v>54</v>
      </c>
      <c r="F366" s="75" t="s">
        <v>175</v>
      </c>
    </row>
    <row r="367" customFormat="false" ht="14.25" hidden="true" customHeight="false" outlineLevel="0" collapsed="false">
      <c r="A367" s="66" t="s">
        <v>34</v>
      </c>
      <c r="B367" s="66" t="s">
        <v>35</v>
      </c>
      <c r="C367" s="66" t="s">
        <v>586</v>
      </c>
      <c r="D367" s="66" t="s">
        <v>591</v>
      </c>
      <c r="E367" s="102" t="n">
        <v>54</v>
      </c>
      <c r="F367" s="66" t="s">
        <v>190</v>
      </c>
    </row>
    <row r="368" customFormat="false" ht="14.25" hidden="true" customHeight="false" outlineLevel="0" collapsed="false">
      <c r="A368" s="75" t="s">
        <v>34</v>
      </c>
      <c r="B368" s="75" t="s">
        <v>35</v>
      </c>
      <c r="C368" s="75" t="s">
        <v>586</v>
      </c>
      <c r="D368" s="75" t="s">
        <v>592</v>
      </c>
      <c r="E368" s="103" t="n">
        <v>80</v>
      </c>
      <c r="F368" s="75" t="s">
        <v>177</v>
      </c>
    </row>
    <row r="369" customFormat="false" ht="14.25" hidden="true" customHeight="false" outlineLevel="0" collapsed="false">
      <c r="A369" s="66" t="s">
        <v>34</v>
      </c>
      <c r="B369" s="66" t="s">
        <v>35</v>
      </c>
      <c r="C369" s="66" t="s">
        <v>586</v>
      </c>
      <c r="D369" s="66" t="s">
        <v>593</v>
      </c>
      <c r="E369" s="102" t="n">
        <v>80</v>
      </c>
      <c r="F369" s="66" t="s">
        <v>177</v>
      </c>
    </row>
    <row r="370" customFormat="false" ht="14.25" hidden="true" customHeight="false" outlineLevel="0" collapsed="false">
      <c r="A370" s="75" t="s">
        <v>34</v>
      </c>
      <c r="B370" s="75" t="s">
        <v>35</v>
      </c>
      <c r="C370" s="75" t="s">
        <v>586</v>
      </c>
      <c r="D370" s="75" t="s">
        <v>594</v>
      </c>
      <c r="E370" s="103" t="n">
        <v>140.4</v>
      </c>
      <c r="F370" s="75" t="s">
        <v>190</v>
      </c>
    </row>
    <row r="371" customFormat="false" ht="14.25" hidden="true" customHeight="false" outlineLevel="0" collapsed="false">
      <c r="A371" s="66" t="s">
        <v>34</v>
      </c>
      <c r="B371" s="66" t="s">
        <v>35</v>
      </c>
      <c r="C371" s="66" t="s">
        <v>586</v>
      </c>
      <c r="D371" s="66" t="s">
        <v>595</v>
      </c>
      <c r="E371" s="102" t="n">
        <v>81</v>
      </c>
      <c r="F371" s="66" t="s">
        <v>190</v>
      </c>
    </row>
    <row r="372" customFormat="false" ht="14.25" hidden="true" customHeight="false" outlineLevel="0" collapsed="false">
      <c r="A372" s="75" t="s">
        <v>34</v>
      </c>
      <c r="B372" s="75" t="s">
        <v>35</v>
      </c>
      <c r="C372" s="75" t="s">
        <v>586</v>
      </c>
      <c r="D372" s="75" t="s">
        <v>596</v>
      </c>
      <c r="E372" s="103" t="n">
        <v>32.4</v>
      </c>
      <c r="F372" s="75" t="s">
        <v>190</v>
      </c>
    </row>
    <row r="373" customFormat="false" ht="14.25" hidden="true" customHeight="false" outlineLevel="0" collapsed="false">
      <c r="A373" s="66" t="s">
        <v>34</v>
      </c>
      <c r="B373" s="66" t="s">
        <v>35</v>
      </c>
      <c r="C373" s="66" t="s">
        <v>586</v>
      </c>
      <c r="D373" s="66" t="s">
        <v>597</v>
      </c>
      <c r="E373" s="102" t="n">
        <v>80</v>
      </c>
      <c r="F373" s="66" t="s">
        <v>177</v>
      </c>
    </row>
    <row r="374" customFormat="false" ht="14.25" hidden="true" customHeight="false" outlineLevel="0" collapsed="false">
      <c r="A374" s="75" t="s">
        <v>34</v>
      </c>
      <c r="B374" s="75" t="s">
        <v>35</v>
      </c>
      <c r="C374" s="75" t="s">
        <v>586</v>
      </c>
      <c r="D374" s="75" t="s">
        <v>573</v>
      </c>
      <c r="E374" s="103" t="n">
        <v>80</v>
      </c>
      <c r="F374" s="75" t="s">
        <v>177</v>
      </c>
    </row>
    <row r="375" customFormat="false" ht="14.25" hidden="true" customHeight="false" outlineLevel="0" collapsed="false">
      <c r="A375" s="66" t="s">
        <v>34</v>
      </c>
      <c r="B375" s="66" t="s">
        <v>35</v>
      </c>
      <c r="C375" s="66" t="s">
        <v>586</v>
      </c>
      <c r="D375" s="66" t="s">
        <v>598</v>
      </c>
      <c r="E375" s="102" t="n">
        <v>54</v>
      </c>
      <c r="F375" s="66" t="s">
        <v>190</v>
      </c>
    </row>
    <row r="376" customFormat="false" ht="14.25" hidden="true" customHeight="false" outlineLevel="0" collapsed="false">
      <c r="A376" s="75" t="s">
        <v>34</v>
      </c>
      <c r="B376" s="75" t="s">
        <v>35</v>
      </c>
      <c r="C376" s="75" t="s">
        <v>586</v>
      </c>
      <c r="D376" s="75" t="s">
        <v>599</v>
      </c>
      <c r="E376" s="103" t="n">
        <v>97.2</v>
      </c>
      <c r="F376" s="75" t="s">
        <v>175</v>
      </c>
    </row>
    <row r="377" customFormat="false" ht="14.25" hidden="true" customHeight="false" outlineLevel="0" collapsed="false">
      <c r="A377" s="66" t="s">
        <v>34</v>
      </c>
      <c r="B377" s="66" t="s">
        <v>35</v>
      </c>
      <c r="C377" s="66" t="s">
        <v>586</v>
      </c>
      <c r="D377" s="66" t="s">
        <v>600</v>
      </c>
      <c r="E377" s="102" t="n">
        <v>54</v>
      </c>
      <c r="F377" s="66" t="s">
        <v>190</v>
      </c>
    </row>
    <row r="378" customFormat="false" ht="14.25" hidden="true" customHeight="false" outlineLevel="0" collapsed="false">
      <c r="A378" s="75" t="s">
        <v>34</v>
      </c>
      <c r="B378" s="75" t="s">
        <v>35</v>
      </c>
      <c r="C378" s="75" t="s">
        <v>586</v>
      </c>
      <c r="D378" s="75" t="s">
        <v>601</v>
      </c>
      <c r="E378" s="103" t="n">
        <v>80</v>
      </c>
      <c r="F378" s="75" t="s">
        <v>177</v>
      </c>
    </row>
    <row r="379" customFormat="false" ht="14.25" hidden="true" customHeight="false" outlineLevel="0" collapsed="false">
      <c r="A379" s="66" t="s">
        <v>34</v>
      </c>
      <c r="B379" s="66" t="s">
        <v>35</v>
      </c>
      <c r="C379" s="66" t="s">
        <v>586</v>
      </c>
      <c r="D379" s="66" t="s">
        <v>602</v>
      </c>
      <c r="E379" s="102" t="n">
        <v>80</v>
      </c>
      <c r="F379" s="66" t="s">
        <v>177</v>
      </c>
    </row>
    <row r="380" customFormat="false" ht="14.25" hidden="true" customHeight="false" outlineLevel="0" collapsed="false">
      <c r="A380" s="75" t="s">
        <v>34</v>
      </c>
      <c r="B380" s="75" t="s">
        <v>35</v>
      </c>
      <c r="C380" s="75" t="s">
        <v>586</v>
      </c>
      <c r="D380" s="75" t="s">
        <v>603</v>
      </c>
      <c r="E380" s="103" t="n">
        <v>54</v>
      </c>
      <c r="F380" s="75" t="s">
        <v>175</v>
      </c>
    </row>
    <row r="381" customFormat="false" ht="14.25" hidden="true" customHeight="false" outlineLevel="0" collapsed="false">
      <c r="A381" s="66" t="s">
        <v>34</v>
      </c>
      <c r="B381" s="66" t="s">
        <v>35</v>
      </c>
      <c r="C381" s="66" t="s">
        <v>586</v>
      </c>
      <c r="D381" s="66" t="s">
        <v>604</v>
      </c>
      <c r="E381" s="102" t="n">
        <v>100</v>
      </c>
      <c r="F381" s="66" t="s">
        <v>177</v>
      </c>
    </row>
    <row r="382" customFormat="false" ht="14.25" hidden="true" customHeight="false" outlineLevel="0" collapsed="false">
      <c r="A382" s="75" t="s">
        <v>34</v>
      </c>
      <c r="B382" s="75" t="s">
        <v>35</v>
      </c>
      <c r="C382" s="75" t="s">
        <v>586</v>
      </c>
      <c r="D382" s="75" t="s">
        <v>605</v>
      </c>
      <c r="E382" s="103" t="n">
        <v>80</v>
      </c>
      <c r="F382" s="75" t="s">
        <v>177</v>
      </c>
    </row>
    <row r="383" customFormat="false" ht="14.25" hidden="true" customHeight="false" outlineLevel="0" collapsed="false">
      <c r="A383" s="66" t="s">
        <v>34</v>
      </c>
      <c r="B383" s="66" t="s">
        <v>35</v>
      </c>
      <c r="C383" s="66" t="s">
        <v>586</v>
      </c>
      <c r="D383" s="66" t="s">
        <v>606</v>
      </c>
      <c r="E383" s="102" t="n">
        <v>97.2</v>
      </c>
      <c r="F383" s="66" t="s">
        <v>190</v>
      </c>
    </row>
    <row r="384" customFormat="false" ht="14.25" hidden="true" customHeight="false" outlineLevel="0" collapsed="false">
      <c r="A384" s="75" t="s">
        <v>34</v>
      </c>
      <c r="B384" s="75" t="s">
        <v>35</v>
      </c>
      <c r="C384" s="75" t="s">
        <v>586</v>
      </c>
      <c r="D384" s="75" t="s">
        <v>607</v>
      </c>
      <c r="E384" s="103" t="n">
        <v>100</v>
      </c>
      <c r="F384" s="75" t="s">
        <v>177</v>
      </c>
    </row>
    <row r="385" customFormat="false" ht="14.25" hidden="true" customHeight="false" outlineLevel="0" collapsed="false">
      <c r="A385" s="66" t="s">
        <v>34</v>
      </c>
      <c r="B385" s="66" t="s">
        <v>35</v>
      </c>
      <c r="C385" s="66" t="s">
        <v>608</v>
      </c>
      <c r="D385" s="66" t="s">
        <v>609</v>
      </c>
      <c r="E385" s="102" t="n">
        <v>81</v>
      </c>
      <c r="F385" s="66" t="s">
        <v>190</v>
      </c>
    </row>
    <row r="386" customFormat="false" ht="14.25" hidden="true" customHeight="false" outlineLevel="0" collapsed="false">
      <c r="A386" s="75" t="s">
        <v>34</v>
      </c>
      <c r="B386" s="75" t="s">
        <v>35</v>
      </c>
      <c r="C386" s="75" t="s">
        <v>608</v>
      </c>
      <c r="D386" s="75" t="s">
        <v>610</v>
      </c>
      <c r="E386" s="103" t="n">
        <v>80</v>
      </c>
      <c r="F386" s="75" t="s">
        <v>177</v>
      </c>
    </row>
    <row r="387" customFormat="false" ht="14.25" hidden="true" customHeight="false" outlineLevel="0" collapsed="false">
      <c r="A387" s="66" t="s">
        <v>34</v>
      </c>
      <c r="B387" s="66" t="s">
        <v>35</v>
      </c>
      <c r="C387" s="66" t="s">
        <v>608</v>
      </c>
      <c r="D387" s="66" t="s">
        <v>611</v>
      </c>
      <c r="E387" s="102" t="n">
        <v>100</v>
      </c>
      <c r="F387" s="66" t="s">
        <v>177</v>
      </c>
    </row>
    <row r="388" customFormat="false" ht="14.25" hidden="true" customHeight="false" outlineLevel="0" collapsed="false">
      <c r="A388" s="75" t="s">
        <v>34</v>
      </c>
      <c r="B388" s="75" t="s">
        <v>35</v>
      </c>
      <c r="C388" s="75" t="s">
        <v>608</v>
      </c>
      <c r="D388" s="75" t="s">
        <v>612</v>
      </c>
      <c r="E388" s="103" t="n">
        <v>30</v>
      </c>
      <c r="F388" s="75" t="s">
        <v>177</v>
      </c>
    </row>
    <row r="389" customFormat="false" ht="14.25" hidden="true" customHeight="false" outlineLevel="0" collapsed="false">
      <c r="A389" s="66" t="s">
        <v>34</v>
      </c>
      <c r="B389" s="66" t="s">
        <v>35</v>
      </c>
      <c r="C389" s="66" t="s">
        <v>608</v>
      </c>
      <c r="D389" s="66" t="s">
        <v>613</v>
      </c>
      <c r="E389" s="102" t="n">
        <v>100</v>
      </c>
      <c r="F389" s="66" t="s">
        <v>177</v>
      </c>
    </row>
    <row r="390" customFormat="false" ht="14.25" hidden="true" customHeight="false" outlineLevel="0" collapsed="false">
      <c r="A390" s="75" t="s">
        <v>34</v>
      </c>
      <c r="B390" s="75" t="s">
        <v>35</v>
      </c>
      <c r="C390" s="75" t="s">
        <v>608</v>
      </c>
      <c r="D390" s="75" t="s">
        <v>614</v>
      </c>
      <c r="E390" s="103" t="n">
        <v>80</v>
      </c>
      <c r="F390" s="75" t="s">
        <v>177</v>
      </c>
    </row>
    <row r="391" customFormat="false" ht="14.25" hidden="true" customHeight="false" outlineLevel="0" collapsed="false">
      <c r="A391" s="66" t="s">
        <v>34</v>
      </c>
      <c r="B391" s="66" t="s">
        <v>35</v>
      </c>
      <c r="C391" s="66" t="s">
        <v>608</v>
      </c>
      <c r="D391" s="66" t="s">
        <v>615</v>
      </c>
      <c r="E391" s="102" t="n">
        <v>81</v>
      </c>
      <c r="F391" s="66" t="s">
        <v>190</v>
      </c>
    </row>
    <row r="392" customFormat="false" ht="14.25" hidden="true" customHeight="false" outlineLevel="0" collapsed="false">
      <c r="A392" s="75" t="s">
        <v>34</v>
      </c>
      <c r="B392" s="75" t="s">
        <v>35</v>
      </c>
      <c r="C392" s="75" t="s">
        <v>608</v>
      </c>
      <c r="D392" s="75" t="s">
        <v>616</v>
      </c>
      <c r="E392" s="103" t="n">
        <v>54</v>
      </c>
      <c r="F392" s="75" t="s">
        <v>175</v>
      </c>
    </row>
    <row r="393" customFormat="false" ht="14.25" hidden="true" customHeight="false" outlineLevel="0" collapsed="false">
      <c r="A393" s="66" t="s">
        <v>34</v>
      </c>
      <c r="B393" s="66" t="s">
        <v>35</v>
      </c>
      <c r="C393" s="66" t="s">
        <v>608</v>
      </c>
      <c r="D393" s="66" t="s">
        <v>617</v>
      </c>
      <c r="E393" s="102" t="n">
        <v>81</v>
      </c>
      <c r="F393" s="66" t="s">
        <v>175</v>
      </c>
    </row>
    <row r="394" customFormat="false" ht="14.25" hidden="true" customHeight="false" outlineLevel="0" collapsed="false">
      <c r="A394" s="75" t="s">
        <v>34</v>
      </c>
      <c r="B394" s="75" t="s">
        <v>35</v>
      </c>
      <c r="C394" s="75" t="s">
        <v>608</v>
      </c>
      <c r="D394" s="75" t="s">
        <v>618</v>
      </c>
      <c r="E394" s="103" t="n">
        <v>81</v>
      </c>
      <c r="F394" s="75" t="s">
        <v>175</v>
      </c>
    </row>
    <row r="395" customFormat="false" ht="14.25" hidden="true" customHeight="false" outlineLevel="0" collapsed="false">
      <c r="A395" s="66" t="s">
        <v>34</v>
      </c>
      <c r="B395" s="66" t="s">
        <v>35</v>
      </c>
      <c r="C395" s="66" t="s">
        <v>608</v>
      </c>
      <c r="D395" s="66" t="s">
        <v>619</v>
      </c>
      <c r="E395" s="102" t="n">
        <v>81</v>
      </c>
      <c r="F395" s="66" t="s">
        <v>190</v>
      </c>
    </row>
    <row r="396" customFormat="false" ht="14.25" hidden="true" customHeight="false" outlineLevel="0" collapsed="false">
      <c r="A396" s="75" t="s">
        <v>34</v>
      </c>
      <c r="B396" s="75" t="s">
        <v>35</v>
      </c>
      <c r="C396" s="75" t="s">
        <v>608</v>
      </c>
      <c r="D396" s="75" t="s">
        <v>620</v>
      </c>
      <c r="E396" s="103" t="n">
        <v>80</v>
      </c>
      <c r="F396" s="75" t="s">
        <v>177</v>
      </c>
    </row>
    <row r="397" customFormat="false" ht="14.25" hidden="true" customHeight="false" outlineLevel="0" collapsed="false">
      <c r="A397" s="66" t="s">
        <v>34</v>
      </c>
      <c r="B397" s="66" t="s">
        <v>35</v>
      </c>
      <c r="C397" s="66" t="s">
        <v>608</v>
      </c>
      <c r="D397" s="66" t="s">
        <v>621</v>
      </c>
      <c r="E397" s="102" t="n">
        <v>80</v>
      </c>
      <c r="F397" s="66" t="s">
        <v>177</v>
      </c>
    </row>
    <row r="398" customFormat="false" ht="14.25" hidden="true" customHeight="false" outlineLevel="0" collapsed="false">
      <c r="A398" s="75" t="s">
        <v>34</v>
      </c>
      <c r="B398" s="75" t="s">
        <v>35</v>
      </c>
      <c r="C398" s="75" t="s">
        <v>622</v>
      </c>
      <c r="D398" s="75" t="s">
        <v>623</v>
      </c>
      <c r="E398" s="103" t="n">
        <v>21.6</v>
      </c>
      <c r="F398" s="75" t="s">
        <v>175</v>
      </c>
    </row>
    <row r="399" customFormat="false" ht="14.25" hidden="true" customHeight="false" outlineLevel="0" collapsed="false">
      <c r="A399" s="66" t="s">
        <v>34</v>
      </c>
      <c r="B399" s="66" t="s">
        <v>35</v>
      </c>
      <c r="C399" s="66" t="s">
        <v>622</v>
      </c>
      <c r="D399" s="66" t="s">
        <v>624</v>
      </c>
      <c r="E399" s="102" t="n">
        <v>32.4</v>
      </c>
      <c r="F399" s="66" t="s">
        <v>190</v>
      </c>
    </row>
    <row r="400" customFormat="false" ht="14.25" hidden="true" customHeight="false" outlineLevel="0" collapsed="false">
      <c r="A400" s="75" t="s">
        <v>34</v>
      </c>
      <c r="B400" s="75" t="s">
        <v>35</v>
      </c>
      <c r="C400" s="75" t="s">
        <v>622</v>
      </c>
      <c r="D400" s="75" t="s">
        <v>625</v>
      </c>
      <c r="E400" s="103" t="n">
        <v>54</v>
      </c>
      <c r="F400" s="75" t="s">
        <v>175</v>
      </c>
    </row>
    <row r="401" customFormat="false" ht="14.25" hidden="true" customHeight="false" outlineLevel="0" collapsed="false">
      <c r="A401" s="66" t="s">
        <v>34</v>
      </c>
      <c r="B401" s="66" t="s">
        <v>35</v>
      </c>
      <c r="C401" s="66" t="s">
        <v>622</v>
      </c>
      <c r="D401" s="66" t="s">
        <v>626</v>
      </c>
      <c r="E401" s="102" t="n">
        <v>80</v>
      </c>
      <c r="F401" s="66" t="s">
        <v>177</v>
      </c>
    </row>
    <row r="402" customFormat="false" ht="14.25" hidden="true" customHeight="false" outlineLevel="0" collapsed="false">
      <c r="A402" s="75" t="s">
        <v>34</v>
      </c>
      <c r="B402" s="75" t="s">
        <v>35</v>
      </c>
      <c r="C402" s="75" t="s">
        <v>622</v>
      </c>
      <c r="D402" s="75" t="s">
        <v>627</v>
      </c>
      <c r="E402" s="103" t="n">
        <v>97.2</v>
      </c>
      <c r="F402" s="75" t="s">
        <v>190</v>
      </c>
    </row>
    <row r="403" customFormat="false" ht="14.25" hidden="true" customHeight="false" outlineLevel="0" collapsed="false">
      <c r="A403" s="66" t="s">
        <v>34</v>
      </c>
      <c r="B403" s="66" t="s">
        <v>35</v>
      </c>
      <c r="C403" s="66" t="s">
        <v>622</v>
      </c>
      <c r="D403" s="66" t="s">
        <v>628</v>
      </c>
      <c r="E403" s="102" t="n">
        <v>80</v>
      </c>
      <c r="F403" s="66" t="s">
        <v>177</v>
      </c>
    </row>
    <row r="404" customFormat="false" ht="14.25" hidden="true" customHeight="false" outlineLevel="0" collapsed="false">
      <c r="A404" s="75" t="s">
        <v>27</v>
      </c>
      <c r="B404" s="75" t="s">
        <v>269</v>
      </c>
      <c r="C404" s="75" t="s">
        <v>629</v>
      </c>
      <c r="D404" s="75" t="s">
        <v>630</v>
      </c>
      <c r="E404" s="103" t="n">
        <v>32.4</v>
      </c>
      <c r="F404" s="75" t="s">
        <v>175</v>
      </c>
    </row>
    <row r="405" customFormat="false" ht="14.25" hidden="true" customHeight="false" outlineLevel="0" collapsed="false">
      <c r="A405" s="66" t="s">
        <v>27</v>
      </c>
      <c r="B405" s="66" t="s">
        <v>269</v>
      </c>
      <c r="C405" s="66" t="s">
        <v>629</v>
      </c>
      <c r="D405" s="66" t="s">
        <v>631</v>
      </c>
      <c r="E405" s="102" t="n">
        <v>21.6</v>
      </c>
      <c r="F405" s="66" t="s">
        <v>175</v>
      </c>
    </row>
    <row r="406" customFormat="false" ht="14.25" hidden="true" customHeight="false" outlineLevel="0" collapsed="false">
      <c r="A406" s="75" t="s">
        <v>27</v>
      </c>
      <c r="B406" s="75" t="s">
        <v>269</v>
      </c>
      <c r="C406" s="75" t="s">
        <v>629</v>
      </c>
      <c r="D406" s="75" t="s">
        <v>632</v>
      </c>
      <c r="E406" s="103" t="n">
        <v>30</v>
      </c>
      <c r="F406" s="75" t="s">
        <v>177</v>
      </c>
    </row>
    <row r="407" customFormat="false" ht="14.25" hidden="true" customHeight="false" outlineLevel="0" collapsed="false">
      <c r="A407" s="66" t="s">
        <v>27</v>
      </c>
      <c r="B407" s="66" t="s">
        <v>269</v>
      </c>
      <c r="C407" s="66" t="s">
        <v>629</v>
      </c>
      <c r="D407" s="66" t="s">
        <v>633</v>
      </c>
      <c r="E407" s="102" t="n">
        <v>21.6</v>
      </c>
      <c r="F407" s="66" t="s">
        <v>190</v>
      </c>
    </row>
    <row r="408" customFormat="false" ht="14.25" hidden="true" customHeight="false" outlineLevel="0" collapsed="false">
      <c r="A408" s="75" t="s">
        <v>27</v>
      </c>
      <c r="B408" s="75" t="s">
        <v>269</v>
      </c>
      <c r="C408" s="75" t="s">
        <v>629</v>
      </c>
      <c r="D408" s="75" t="s">
        <v>634</v>
      </c>
      <c r="E408" s="103" t="n">
        <v>54</v>
      </c>
      <c r="F408" s="75" t="s">
        <v>190</v>
      </c>
    </row>
    <row r="409" customFormat="false" ht="14.25" hidden="true" customHeight="false" outlineLevel="0" collapsed="false">
      <c r="A409" s="66" t="s">
        <v>27</v>
      </c>
      <c r="B409" s="66" t="s">
        <v>269</v>
      </c>
      <c r="C409" s="66" t="s">
        <v>629</v>
      </c>
      <c r="D409" s="66" t="s">
        <v>635</v>
      </c>
      <c r="E409" s="102" t="n">
        <v>21.6</v>
      </c>
      <c r="F409" s="66" t="s">
        <v>190</v>
      </c>
    </row>
    <row r="410" customFormat="false" ht="14.25" hidden="true" customHeight="false" outlineLevel="0" collapsed="false">
      <c r="A410" s="75" t="s">
        <v>27</v>
      </c>
      <c r="B410" s="75" t="s">
        <v>269</v>
      </c>
      <c r="C410" s="75" t="s">
        <v>629</v>
      </c>
      <c r="D410" s="75" t="s">
        <v>636</v>
      </c>
      <c r="E410" s="103" t="n">
        <v>21.6</v>
      </c>
      <c r="F410" s="75" t="s">
        <v>190</v>
      </c>
    </row>
    <row r="411" customFormat="false" ht="14.25" hidden="true" customHeight="false" outlineLevel="0" collapsed="false">
      <c r="A411" s="66" t="s">
        <v>27</v>
      </c>
      <c r="B411" s="66" t="s">
        <v>269</v>
      </c>
      <c r="C411" s="66" t="s">
        <v>629</v>
      </c>
      <c r="D411" s="66" t="s">
        <v>637</v>
      </c>
      <c r="E411" s="102" t="n">
        <v>30</v>
      </c>
      <c r="F411" s="66" t="s">
        <v>177</v>
      </c>
    </row>
    <row r="412" customFormat="false" ht="14.25" hidden="true" customHeight="false" outlineLevel="0" collapsed="false">
      <c r="A412" s="75" t="s">
        <v>27</v>
      </c>
      <c r="B412" s="75" t="s">
        <v>269</v>
      </c>
      <c r="C412" s="75" t="s">
        <v>629</v>
      </c>
      <c r="D412" s="75" t="s">
        <v>638</v>
      </c>
      <c r="E412" s="103" t="n">
        <v>21.6</v>
      </c>
      <c r="F412" s="75" t="s">
        <v>190</v>
      </c>
    </row>
    <row r="413" customFormat="false" ht="14.25" hidden="true" customHeight="false" outlineLevel="0" collapsed="false">
      <c r="A413" s="66" t="s">
        <v>27</v>
      </c>
      <c r="B413" s="66" t="s">
        <v>269</v>
      </c>
      <c r="C413" s="66" t="s">
        <v>629</v>
      </c>
      <c r="D413" s="66" t="s">
        <v>639</v>
      </c>
      <c r="E413" s="102" t="n">
        <v>30</v>
      </c>
      <c r="F413" s="66" t="s">
        <v>177</v>
      </c>
    </row>
    <row r="414" customFormat="false" ht="14.25" hidden="true" customHeight="false" outlineLevel="0" collapsed="false">
      <c r="A414" s="75" t="s">
        <v>27</v>
      </c>
      <c r="B414" s="75" t="s">
        <v>471</v>
      </c>
      <c r="C414" s="75" t="s">
        <v>640</v>
      </c>
      <c r="D414" s="75" t="s">
        <v>641</v>
      </c>
      <c r="E414" s="103" t="n">
        <v>54</v>
      </c>
      <c r="F414" s="75" t="s">
        <v>190</v>
      </c>
    </row>
    <row r="415" customFormat="false" ht="14.25" hidden="true" customHeight="false" outlineLevel="0" collapsed="false">
      <c r="A415" s="66" t="s">
        <v>27</v>
      </c>
      <c r="B415" s="66" t="s">
        <v>471</v>
      </c>
      <c r="C415" s="66" t="s">
        <v>640</v>
      </c>
      <c r="D415" s="66" t="s">
        <v>642</v>
      </c>
      <c r="E415" s="102" t="n">
        <v>32.4</v>
      </c>
      <c r="F415" s="66" t="s">
        <v>190</v>
      </c>
    </row>
    <row r="416" customFormat="false" ht="14.25" hidden="true" customHeight="false" outlineLevel="0" collapsed="false">
      <c r="A416" s="75" t="s">
        <v>27</v>
      </c>
      <c r="B416" s="75" t="s">
        <v>471</v>
      </c>
      <c r="C416" s="75" t="s">
        <v>640</v>
      </c>
      <c r="D416" s="75" t="s">
        <v>643</v>
      </c>
      <c r="E416" s="103" t="n">
        <v>54</v>
      </c>
      <c r="F416" s="75" t="s">
        <v>190</v>
      </c>
    </row>
    <row r="417" customFormat="false" ht="14.25" hidden="true" customHeight="false" outlineLevel="0" collapsed="false">
      <c r="A417" s="66" t="s">
        <v>27</v>
      </c>
      <c r="B417" s="66" t="s">
        <v>471</v>
      </c>
      <c r="C417" s="66" t="s">
        <v>640</v>
      </c>
      <c r="D417" s="66" t="s">
        <v>644</v>
      </c>
      <c r="E417" s="102" t="n">
        <v>54</v>
      </c>
      <c r="F417" s="66" t="s">
        <v>190</v>
      </c>
    </row>
    <row r="418" customFormat="false" ht="14.25" hidden="true" customHeight="false" outlineLevel="0" collapsed="false">
      <c r="A418" s="75" t="s">
        <v>27</v>
      </c>
      <c r="B418" s="75" t="s">
        <v>471</v>
      </c>
      <c r="C418" s="75" t="s">
        <v>640</v>
      </c>
      <c r="D418" s="75" t="s">
        <v>645</v>
      </c>
      <c r="E418" s="103" t="n">
        <v>80</v>
      </c>
      <c r="F418" s="75" t="s">
        <v>177</v>
      </c>
    </row>
    <row r="419" customFormat="false" ht="14.25" hidden="true" customHeight="false" outlineLevel="0" collapsed="false">
      <c r="A419" s="66" t="s">
        <v>27</v>
      </c>
      <c r="B419" s="66" t="s">
        <v>471</v>
      </c>
      <c r="C419" s="66" t="s">
        <v>640</v>
      </c>
      <c r="D419" s="66" t="s">
        <v>646</v>
      </c>
      <c r="E419" s="102" t="n">
        <v>54</v>
      </c>
      <c r="F419" s="66" t="s">
        <v>190</v>
      </c>
    </row>
    <row r="420" customFormat="false" ht="14.25" hidden="true" customHeight="false" outlineLevel="0" collapsed="false">
      <c r="A420" s="75" t="s">
        <v>27</v>
      </c>
      <c r="B420" s="75" t="s">
        <v>471</v>
      </c>
      <c r="C420" s="75" t="s">
        <v>640</v>
      </c>
      <c r="D420" s="75" t="s">
        <v>647</v>
      </c>
      <c r="E420" s="103" t="n">
        <v>21.6</v>
      </c>
      <c r="F420" s="75" t="s">
        <v>175</v>
      </c>
    </row>
    <row r="421" customFormat="false" ht="14.25" hidden="true" customHeight="false" outlineLevel="0" collapsed="false">
      <c r="A421" s="66" t="s">
        <v>27</v>
      </c>
      <c r="B421" s="66" t="s">
        <v>471</v>
      </c>
      <c r="C421" s="66" t="s">
        <v>640</v>
      </c>
      <c r="D421" s="66" t="s">
        <v>648</v>
      </c>
      <c r="E421" s="102" t="n">
        <v>32.4</v>
      </c>
      <c r="F421" s="66" t="s">
        <v>175</v>
      </c>
    </row>
    <row r="422" customFormat="false" ht="14.25" hidden="true" customHeight="false" outlineLevel="0" collapsed="false">
      <c r="A422" s="75" t="s">
        <v>27</v>
      </c>
      <c r="B422" s="75" t="s">
        <v>56</v>
      </c>
      <c r="C422" s="75" t="s">
        <v>649</v>
      </c>
      <c r="D422" s="75" t="s">
        <v>650</v>
      </c>
      <c r="E422" s="103" t="n">
        <v>54</v>
      </c>
      <c r="F422" s="75" t="s">
        <v>175</v>
      </c>
    </row>
    <row r="423" customFormat="false" ht="14.25" hidden="true" customHeight="false" outlineLevel="0" collapsed="false">
      <c r="A423" s="66" t="s">
        <v>27</v>
      </c>
      <c r="B423" s="66" t="s">
        <v>56</v>
      </c>
      <c r="C423" s="66" t="s">
        <v>649</v>
      </c>
      <c r="D423" s="66" t="s">
        <v>651</v>
      </c>
      <c r="E423" s="102" t="n">
        <v>32.4</v>
      </c>
      <c r="F423" s="66" t="s">
        <v>175</v>
      </c>
    </row>
    <row r="424" customFormat="false" ht="14.25" hidden="true" customHeight="false" outlineLevel="0" collapsed="false">
      <c r="A424" s="75" t="s">
        <v>27</v>
      </c>
      <c r="B424" s="75" t="s">
        <v>56</v>
      </c>
      <c r="C424" s="75" t="s">
        <v>649</v>
      </c>
      <c r="D424" s="75" t="s">
        <v>652</v>
      </c>
      <c r="E424" s="103" t="n">
        <v>32.4</v>
      </c>
      <c r="F424" s="75" t="s">
        <v>175</v>
      </c>
    </row>
    <row r="425" customFormat="false" ht="14.25" hidden="true" customHeight="false" outlineLevel="0" collapsed="false">
      <c r="A425" s="66" t="s">
        <v>27</v>
      </c>
      <c r="B425" s="66" t="s">
        <v>56</v>
      </c>
      <c r="C425" s="66" t="s">
        <v>649</v>
      </c>
      <c r="D425" s="66" t="s">
        <v>653</v>
      </c>
      <c r="E425" s="102" t="n">
        <v>80</v>
      </c>
      <c r="F425" s="66" t="s">
        <v>177</v>
      </c>
    </row>
    <row r="426" customFormat="false" ht="14.25" hidden="true" customHeight="false" outlineLevel="0" collapsed="false">
      <c r="A426" s="75" t="s">
        <v>27</v>
      </c>
      <c r="B426" s="75" t="s">
        <v>56</v>
      </c>
      <c r="C426" s="75" t="s">
        <v>649</v>
      </c>
      <c r="D426" s="75" t="s">
        <v>654</v>
      </c>
      <c r="E426" s="103" t="n">
        <v>50</v>
      </c>
      <c r="F426" s="75" t="s">
        <v>177</v>
      </c>
    </row>
    <row r="427" customFormat="false" ht="14.25" hidden="true" customHeight="false" outlineLevel="0" collapsed="false">
      <c r="A427" s="66" t="s">
        <v>27</v>
      </c>
      <c r="B427" s="66" t="s">
        <v>56</v>
      </c>
      <c r="C427" s="66" t="s">
        <v>649</v>
      </c>
      <c r="D427" s="66" t="s">
        <v>655</v>
      </c>
      <c r="E427" s="102" t="n">
        <v>50</v>
      </c>
      <c r="F427" s="66" t="s">
        <v>177</v>
      </c>
    </row>
    <row r="428" customFormat="false" ht="14.25" hidden="true" customHeight="false" outlineLevel="0" collapsed="false">
      <c r="A428" s="75" t="s">
        <v>27</v>
      </c>
      <c r="B428" s="75" t="s">
        <v>56</v>
      </c>
      <c r="C428" s="75" t="s">
        <v>649</v>
      </c>
      <c r="D428" s="75" t="s">
        <v>656</v>
      </c>
      <c r="E428" s="103" t="n">
        <v>80</v>
      </c>
      <c r="F428" s="75" t="s">
        <v>177</v>
      </c>
    </row>
    <row r="429" customFormat="false" ht="14.25" hidden="true" customHeight="false" outlineLevel="0" collapsed="false">
      <c r="A429" s="66" t="s">
        <v>27</v>
      </c>
      <c r="B429" s="66" t="s">
        <v>56</v>
      </c>
      <c r="C429" s="66" t="s">
        <v>649</v>
      </c>
      <c r="D429" s="66" t="s">
        <v>657</v>
      </c>
      <c r="E429" s="102" t="n">
        <v>200</v>
      </c>
      <c r="F429" s="66" t="s">
        <v>177</v>
      </c>
    </row>
    <row r="430" customFormat="false" ht="14.25" hidden="true" customHeight="false" outlineLevel="0" collapsed="false">
      <c r="A430" s="75" t="s">
        <v>27</v>
      </c>
      <c r="B430" s="75" t="s">
        <v>56</v>
      </c>
      <c r="C430" s="75" t="s">
        <v>649</v>
      </c>
      <c r="D430" s="75" t="s">
        <v>658</v>
      </c>
      <c r="E430" s="103" t="n">
        <v>54</v>
      </c>
      <c r="F430" s="75" t="s">
        <v>175</v>
      </c>
    </row>
    <row r="431" customFormat="false" ht="14.25" hidden="true" customHeight="false" outlineLevel="0" collapsed="false">
      <c r="A431" s="66" t="s">
        <v>27</v>
      </c>
      <c r="B431" s="66" t="s">
        <v>56</v>
      </c>
      <c r="C431" s="66" t="s">
        <v>649</v>
      </c>
      <c r="D431" s="66" t="s">
        <v>659</v>
      </c>
      <c r="E431" s="102" t="n">
        <v>80</v>
      </c>
      <c r="F431" s="66" t="s">
        <v>177</v>
      </c>
    </row>
    <row r="432" customFormat="false" ht="14.25" hidden="true" customHeight="false" outlineLevel="0" collapsed="false">
      <c r="A432" s="75" t="s">
        <v>27</v>
      </c>
      <c r="B432" s="75" t="s">
        <v>56</v>
      </c>
      <c r="C432" s="75" t="s">
        <v>649</v>
      </c>
      <c r="D432" s="75" t="s">
        <v>660</v>
      </c>
      <c r="E432" s="103" t="n">
        <v>54</v>
      </c>
      <c r="F432" s="75" t="s">
        <v>175</v>
      </c>
    </row>
    <row r="433" customFormat="false" ht="14.25" hidden="true" customHeight="false" outlineLevel="0" collapsed="false">
      <c r="A433" s="66" t="s">
        <v>36</v>
      </c>
      <c r="B433" s="66" t="s">
        <v>269</v>
      </c>
      <c r="C433" s="66" t="s">
        <v>661</v>
      </c>
      <c r="D433" s="66" t="s">
        <v>662</v>
      </c>
      <c r="E433" s="102" t="n">
        <v>140.4</v>
      </c>
      <c r="F433" s="66" t="s">
        <v>190</v>
      </c>
    </row>
    <row r="434" customFormat="false" ht="14.25" hidden="true" customHeight="false" outlineLevel="0" collapsed="false">
      <c r="A434" s="75" t="s">
        <v>36</v>
      </c>
      <c r="B434" s="75" t="s">
        <v>269</v>
      </c>
      <c r="C434" s="75" t="s">
        <v>661</v>
      </c>
      <c r="D434" s="75" t="s">
        <v>663</v>
      </c>
      <c r="E434" s="103" t="n">
        <v>54</v>
      </c>
      <c r="F434" s="75" t="s">
        <v>175</v>
      </c>
    </row>
    <row r="435" customFormat="false" ht="14.25" hidden="true" customHeight="false" outlineLevel="0" collapsed="false">
      <c r="A435" s="66" t="s">
        <v>36</v>
      </c>
      <c r="B435" s="66" t="s">
        <v>269</v>
      </c>
      <c r="C435" s="66" t="s">
        <v>661</v>
      </c>
      <c r="D435" s="66" t="s">
        <v>664</v>
      </c>
      <c r="E435" s="102" t="n">
        <v>81</v>
      </c>
      <c r="F435" s="66" t="s">
        <v>190</v>
      </c>
    </row>
    <row r="436" customFormat="false" ht="14.25" hidden="true" customHeight="false" outlineLevel="0" collapsed="false">
      <c r="A436" s="75" t="s">
        <v>36</v>
      </c>
      <c r="B436" s="75" t="s">
        <v>269</v>
      </c>
      <c r="C436" s="75" t="s">
        <v>661</v>
      </c>
      <c r="D436" s="75" t="s">
        <v>665</v>
      </c>
      <c r="E436" s="103" t="n">
        <v>80</v>
      </c>
      <c r="F436" s="75" t="s">
        <v>177</v>
      </c>
    </row>
    <row r="437" customFormat="false" ht="14.25" hidden="true" customHeight="false" outlineLevel="0" collapsed="false">
      <c r="A437" s="66" t="s">
        <v>36</v>
      </c>
      <c r="B437" s="66" t="s">
        <v>269</v>
      </c>
      <c r="C437" s="66" t="s">
        <v>661</v>
      </c>
      <c r="D437" s="66" t="s">
        <v>666</v>
      </c>
      <c r="E437" s="102" t="n">
        <v>80</v>
      </c>
      <c r="F437" s="66" t="s">
        <v>177</v>
      </c>
    </row>
    <row r="438" customFormat="false" ht="14.25" hidden="true" customHeight="false" outlineLevel="0" collapsed="false">
      <c r="A438" s="75" t="s">
        <v>36</v>
      </c>
      <c r="B438" s="75" t="s">
        <v>269</v>
      </c>
      <c r="C438" s="75" t="s">
        <v>661</v>
      </c>
      <c r="D438" s="75" t="s">
        <v>667</v>
      </c>
      <c r="E438" s="103" t="n">
        <v>54</v>
      </c>
      <c r="F438" s="75" t="s">
        <v>190</v>
      </c>
    </row>
    <row r="439" customFormat="false" ht="14.25" hidden="true" customHeight="false" outlineLevel="0" collapsed="false">
      <c r="A439" s="66" t="s">
        <v>36</v>
      </c>
      <c r="B439" s="66" t="s">
        <v>269</v>
      </c>
      <c r="C439" s="66" t="s">
        <v>661</v>
      </c>
      <c r="D439" s="66" t="s">
        <v>668</v>
      </c>
      <c r="E439" s="102" t="n">
        <v>183.6</v>
      </c>
      <c r="F439" s="66" t="s">
        <v>190</v>
      </c>
    </row>
    <row r="440" customFormat="false" ht="14.25" hidden="true" customHeight="false" outlineLevel="0" collapsed="false">
      <c r="A440" s="75" t="s">
        <v>36</v>
      </c>
      <c r="B440" s="75" t="s">
        <v>269</v>
      </c>
      <c r="C440" s="75" t="s">
        <v>661</v>
      </c>
      <c r="D440" s="75" t="s">
        <v>669</v>
      </c>
      <c r="E440" s="103" t="n">
        <v>15</v>
      </c>
      <c r="F440" s="75" t="s">
        <v>177</v>
      </c>
    </row>
    <row r="441" customFormat="false" ht="14.25" hidden="true" customHeight="false" outlineLevel="0" collapsed="false">
      <c r="A441" s="66" t="s">
        <v>36</v>
      </c>
      <c r="B441" s="66" t="s">
        <v>269</v>
      </c>
      <c r="C441" s="66" t="s">
        <v>661</v>
      </c>
      <c r="D441" s="66" t="s">
        <v>670</v>
      </c>
      <c r="E441" s="102" t="n">
        <v>15</v>
      </c>
      <c r="F441" s="66" t="s">
        <v>177</v>
      </c>
    </row>
    <row r="442" customFormat="false" ht="14.25" hidden="true" customHeight="false" outlineLevel="0" collapsed="false">
      <c r="A442" s="75" t="s">
        <v>36</v>
      </c>
      <c r="B442" s="75" t="s">
        <v>269</v>
      </c>
      <c r="C442" s="75" t="s">
        <v>671</v>
      </c>
      <c r="D442" s="75" t="s">
        <v>672</v>
      </c>
      <c r="E442" s="103" t="n">
        <v>15</v>
      </c>
      <c r="F442" s="75" t="s">
        <v>177</v>
      </c>
    </row>
    <row r="443" customFormat="false" ht="14.25" hidden="true" customHeight="false" outlineLevel="0" collapsed="false">
      <c r="A443" s="66" t="s">
        <v>36</v>
      </c>
      <c r="B443" s="66" t="s">
        <v>269</v>
      </c>
      <c r="C443" s="66" t="s">
        <v>671</v>
      </c>
      <c r="D443" s="66" t="s">
        <v>673</v>
      </c>
      <c r="E443" s="102" t="n">
        <v>80</v>
      </c>
      <c r="F443" s="66" t="s">
        <v>177</v>
      </c>
    </row>
    <row r="444" customFormat="false" ht="14.25" hidden="true" customHeight="false" outlineLevel="0" collapsed="false">
      <c r="A444" s="75" t="s">
        <v>36</v>
      </c>
      <c r="B444" s="75" t="s">
        <v>269</v>
      </c>
      <c r="C444" s="75" t="s">
        <v>671</v>
      </c>
      <c r="D444" s="75" t="s">
        <v>674</v>
      </c>
      <c r="E444" s="103" t="n">
        <v>32.4</v>
      </c>
      <c r="F444" s="75" t="s">
        <v>175</v>
      </c>
    </row>
    <row r="445" customFormat="false" ht="14.25" hidden="true" customHeight="false" outlineLevel="0" collapsed="false">
      <c r="A445" s="66" t="s">
        <v>36</v>
      </c>
      <c r="B445" s="66" t="s">
        <v>269</v>
      </c>
      <c r="C445" s="66" t="s">
        <v>671</v>
      </c>
      <c r="D445" s="66" t="s">
        <v>675</v>
      </c>
      <c r="E445" s="102" t="n">
        <v>80</v>
      </c>
      <c r="F445" s="66" t="s">
        <v>177</v>
      </c>
    </row>
    <row r="446" customFormat="false" ht="14.25" hidden="true" customHeight="false" outlineLevel="0" collapsed="false">
      <c r="A446" s="75" t="s">
        <v>36</v>
      </c>
      <c r="B446" s="75" t="s">
        <v>269</v>
      </c>
      <c r="C446" s="75" t="s">
        <v>671</v>
      </c>
      <c r="D446" s="75" t="s">
        <v>676</v>
      </c>
      <c r="E446" s="103" t="n">
        <v>81</v>
      </c>
      <c r="F446" s="75" t="s">
        <v>175</v>
      </c>
    </row>
    <row r="447" customFormat="false" ht="14.25" hidden="true" customHeight="false" outlineLevel="0" collapsed="false">
      <c r="A447" s="66" t="s">
        <v>36</v>
      </c>
      <c r="B447" s="66" t="s">
        <v>269</v>
      </c>
      <c r="C447" s="66" t="s">
        <v>671</v>
      </c>
      <c r="D447" s="66" t="s">
        <v>677</v>
      </c>
      <c r="E447" s="102" t="n">
        <v>32.4</v>
      </c>
      <c r="F447" s="66" t="s">
        <v>190</v>
      </c>
    </row>
    <row r="448" customFormat="false" ht="14.25" hidden="true" customHeight="false" outlineLevel="0" collapsed="false">
      <c r="A448" s="75" t="s">
        <v>36</v>
      </c>
      <c r="B448" s="75" t="s">
        <v>269</v>
      </c>
      <c r="C448" s="75" t="s">
        <v>671</v>
      </c>
      <c r="D448" s="75" t="s">
        <v>678</v>
      </c>
      <c r="E448" s="103" t="n">
        <v>32.4</v>
      </c>
      <c r="F448" s="75" t="s">
        <v>190</v>
      </c>
    </row>
    <row r="449" customFormat="false" ht="14.25" hidden="true" customHeight="false" outlineLevel="0" collapsed="false">
      <c r="A449" s="66" t="s">
        <v>36</v>
      </c>
      <c r="B449" s="66" t="s">
        <v>269</v>
      </c>
      <c r="C449" s="66" t="s">
        <v>671</v>
      </c>
      <c r="D449" s="66" t="s">
        <v>679</v>
      </c>
      <c r="E449" s="102" t="n">
        <v>54</v>
      </c>
      <c r="F449" s="66" t="s">
        <v>190</v>
      </c>
    </row>
    <row r="450" customFormat="false" ht="14.25" hidden="true" customHeight="false" outlineLevel="0" collapsed="false">
      <c r="A450" s="75" t="s">
        <v>36</v>
      </c>
      <c r="B450" s="75" t="s">
        <v>269</v>
      </c>
      <c r="C450" s="75" t="s">
        <v>671</v>
      </c>
      <c r="D450" s="75" t="s">
        <v>680</v>
      </c>
      <c r="E450" s="103" t="n">
        <v>81</v>
      </c>
      <c r="F450" s="75" t="s">
        <v>190</v>
      </c>
    </row>
    <row r="451" customFormat="false" ht="14.25" hidden="true" customHeight="false" outlineLevel="0" collapsed="false">
      <c r="A451" s="66" t="s">
        <v>36</v>
      </c>
      <c r="B451" s="66" t="s">
        <v>269</v>
      </c>
      <c r="C451" s="66" t="s">
        <v>671</v>
      </c>
      <c r="D451" s="66" t="s">
        <v>681</v>
      </c>
      <c r="E451" s="102" t="n">
        <v>80</v>
      </c>
      <c r="F451" s="66" t="s">
        <v>177</v>
      </c>
    </row>
    <row r="452" customFormat="false" ht="14.25" hidden="true" customHeight="false" outlineLevel="0" collapsed="false">
      <c r="A452" s="75" t="s">
        <v>36</v>
      </c>
      <c r="B452" s="75" t="s">
        <v>269</v>
      </c>
      <c r="C452" s="75" t="s">
        <v>671</v>
      </c>
      <c r="D452" s="75" t="s">
        <v>682</v>
      </c>
      <c r="E452" s="103" t="n">
        <v>21.6</v>
      </c>
      <c r="F452" s="75" t="s">
        <v>190</v>
      </c>
    </row>
    <row r="453" customFormat="false" ht="14.25" hidden="true" customHeight="false" outlineLevel="0" collapsed="false">
      <c r="A453" s="66" t="s">
        <v>36</v>
      </c>
      <c r="B453" s="66" t="s">
        <v>269</v>
      </c>
      <c r="C453" s="66" t="s">
        <v>671</v>
      </c>
      <c r="D453" s="66" t="s">
        <v>683</v>
      </c>
      <c r="E453" s="102" t="n">
        <v>21.6</v>
      </c>
      <c r="F453" s="66" t="s">
        <v>190</v>
      </c>
    </row>
    <row r="454" customFormat="false" ht="14.25" hidden="true" customHeight="false" outlineLevel="0" collapsed="false">
      <c r="A454" s="75" t="s">
        <v>36</v>
      </c>
      <c r="B454" s="75" t="s">
        <v>269</v>
      </c>
      <c r="C454" s="75" t="s">
        <v>671</v>
      </c>
      <c r="D454" s="75" t="s">
        <v>684</v>
      </c>
      <c r="E454" s="103" t="n">
        <v>54</v>
      </c>
      <c r="F454" s="75" t="s">
        <v>175</v>
      </c>
    </row>
    <row r="455" customFormat="false" ht="14.25" hidden="true" customHeight="false" outlineLevel="0" collapsed="false">
      <c r="A455" s="66" t="s">
        <v>36</v>
      </c>
      <c r="B455" s="66" t="s">
        <v>269</v>
      </c>
      <c r="C455" s="66" t="s">
        <v>671</v>
      </c>
      <c r="D455" s="66" t="s">
        <v>685</v>
      </c>
      <c r="E455" s="102" t="n">
        <v>15</v>
      </c>
      <c r="F455" s="66" t="s">
        <v>177</v>
      </c>
    </row>
    <row r="456" customFormat="false" ht="14.25" hidden="true" customHeight="false" outlineLevel="0" collapsed="false">
      <c r="A456" s="75" t="s">
        <v>36</v>
      </c>
      <c r="B456" s="75" t="s">
        <v>269</v>
      </c>
      <c r="C456" s="75" t="s">
        <v>671</v>
      </c>
      <c r="D456" s="75" t="s">
        <v>686</v>
      </c>
      <c r="E456" s="103" t="n">
        <v>30</v>
      </c>
      <c r="F456" s="75" t="s">
        <v>177</v>
      </c>
    </row>
    <row r="457" customFormat="false" ht="14.25" hidden="true" customHeight="false" outlineLevel="0" collapsed="false">
      <c r="A457" s="66" t="s">
        <v>36</v>
      </c>
      <c r="B457" s="66" t="s">
        <v>269</v>
      </c>
      <c r="C457" s="66" t="s">
        <v>671</v>
      </c>
      <c r="D457" s="66" t="s">
        <v>687</v>
      </c>
      <c r="E457" s="102" t="n">
        <v>80</v>
      </c>
      <c r="F457" s="66" t="s">
        <v>177</v>
      </c>
    </row>
    <row r="458" customFormat="false" ht="14.25" hidden="true" customHeight="false" outlineLevel="0" collapsed="false">
      <c r="A458" s="75" t="s">
        <v>36</v>
      </c>
      <c r="B458" s="75" t="s">
        <v>269</v>
      </c>
      <c r="C458" s="75" t="s">
        <v>688</v>
      </c>
      <c r="D458" s="75" t="s">
        <v>689</v>
      </c>
      <c r="E458" s="103" t="n">
        <v>50</v>
      </c>
      <c r="F458" s="75" t="s">
        <v>177</v>
      </c>
    </row>
    <row r="459" customFormat="false" ht="14.25" hidden="true" customHeight="false" outlineLevel="0" collapsed="false">
      <c r="A459" s="66" t="s">
        <v>36</v>
      </c>
      <c r="B459" s="66" t="s">
        <v>269</v>
      </c>
      <c r="C459" s="66" t="s">
        <v>688</v>
      </c>
      <c r="D459" s="66" t="s">
        <v>690</v>
      </c>
      <c r="E459" s="102" t="n">
        <v>80</v>
      </c>
      <c r="F459" s="66" t="s">
        <v>177</v>
      </c>
    </row>
    <row r="460" customFormat="false" ht="14.25" hidden="true" customHeight="false" outlineLevel="0" collapsed="false">
      <c r="A460" s="75" t="s">
        <v>36</v>
      </c>
      <c r="B460" s="75" t="s">
        <v>269</v>
      </c>
      <c r="C460" s="75" t="s">
        <v>688</v>
      </c>
      <c r="D460" s="75" t="s">
        <v>691</v>
      </c>
      <c r="E460" s="103" t="n">
        <v>30</v>
      </c>
      <c r="F460" s="75" t="s">
        <v>177</v>
      </c>
    </row>
    <row r="461" customFormat="false" ht="14.25" hidden="true" customHeight="false" outlineLevel="0" collapsed="false">
      <c r="A461" s="66" t="s">
        <v>36</v>
      </c>
      <c r="B461" s="66" t="s">
        <v>269</v>
      </c>
      <c r="C461" s="66" t="s">
        <v>688</v>
      </c>
      <c r="D461" s="66" t="s">
        <v>692</v>
      </c>
      <c r="E461" s="102" t="n">
        <v>30</v>
      </c>
      <c r="F461" s="66" t="s">
        <v>177</v>
      </c>
    </row>
    <row r="462" customFormat="false" ht="14.25" hidden="true" customHeight="false" outlineLevel="0" collapsed="false">
      <c r="A462" s="75" t="s">
        <v>36</v>
      </c>
      <c r="B462" s="75" t="s">
        <v>269</v>
      </c>
      <c r="C462" s="75" t="s">
        <v>688</v>
      </c>
      <c r="D462" s="75" t="s">
        <v>693</v>
      </c>
      <c r="E462" s="103" t="n">
        <v>100</v>
      </c>
      <c r="F462" s="75" t="s">
        <v>177</v>
      </c>
    </row>
    <row r="463" customFormat="false" ht="14.25" hidden="true" customHeight="false" outlineLevel="0" collapsed="false">
      <c r="A463" s="66" t="s">
        <v>36</v>
      </c>
      <c r="B463" s="66" t="s">
        <v>269</v>
      </c>
      <c r="C463" s="66" t="s">
        <v>688</v>
      </c>
      <c r="D463" s="66" t="s">
        <v>694</v>
      </c>
      <c r="E463" s="102" t="n">
        <v>50</v>
      </c>
      <c r="F463" s="66" t="s">
        <v>177</v>
      </c>
    </row>
    <row r="464" customFormat="false" ht="14.25" hidden="true" customHeight="false" outlineLevel="0" collapsed="false">
      <c r="A464" s="75" t="s">
        <v>36</v>
      </c>
      <c r="B464" s="75" t="s">
        <v>269</v>
      </c>
      <c r="C464" s="75" t="s">
        <v>688</v>
      </c>
      <c r="D464" s="75" t="s">
        <v>695</v>
      </c>
      <c r="E464" s="103" t="n">
        <v>50</v>
      </c>
      <c r="F464" s="75" t="s">
        <v>177</v>
      </c>
    </row>
    <row r="465" customFormat="false" ht="14.25" hidden="true" customHeight="false" outlineLevel="0" collapsed="false">
      <c r="A465" s="66" t="s">
        <v>36</v>
      </c>
      <c r="B465" s="66" t="s">
        <v>269</v>
      </c>
      <c r="C465" s="66" t="s">
        <v>688</v>
      </c>
      <c r="D465" s="66" t="s">
        <v>696</v>
      </c>
      <c r="E465" s="102" t="n">
        <v>50</v>
      </c>
      <c r="F465" s="66" t="s">
        <v>177</v>
      </c>
    </row>
    <row r="466" customFormat="false" ht="14.25" hidden="true" customHeight="false" outlineLevel="0" collapsed="false">
      <c r="A466" s="75" t="s">
        <v>36</v>
      </c>
      <c r="B466" s="75" t="s">
        <v>269</v>
      </c>
      <c r="C466" s="75" t="s">
        <v>688</v>
      </c>
      <c r="D466" s="75" t="s">
        <v>697</v>
      </c>
      <c r="E466" s="103" t="n">
        <v>50</v>
      </c>
      <c r="F466" s="75" t="s">
        <v>177</v>
      </c>
    </row>
    <row r="467" customFormat="false" ht="14.25" hidden="true" customHeight="false" outlineLevel="0" collapsed="false">
      <c r="A467" s="66" t="s">
        <v>36</v>
      </c>
      <c r="B467" s="66" t="s">
        <v>269</v>
      </c>
      <c r="C467" s="66" t="s">
        <v>688</v>
      </c>
      <c r="D467" s="66" t="s">
        <v>698</v>
      </c>
      <c r="E467" s="102" t="n">
        <v>30</v>
      </c>
      <c r="F467" s="66" t="s">
        <v>177</v>
      </c>
    </row>
    <row r="468" customFormat="false" ht="14.25" hidden="true" customHeight="false" outlineLevel="0" collapsed="false">
      <c r="A468" s="75" t="s">
        <v>36</v>
      </c>
      <c r="B468" s="75" t="s">
        <v>269</v>
      </c>
      <c r="C468" s="75" t="s">
        <v>688</v>
      </c>
      <c r="D468" s="75" t="s">
        <v>699</v>
      </c>
      <c r="E468" s="103" t="n">
        <v>100</v>
      </c>
      <c r="F468" s="75" t="s">
        <v>177</v>
      </c>
    </row>
    <row r="469" customFormat="false" ht="14.25" hidden="true" customHeight="false" outlineLevel="0" collapsed="false">
      <c r="A469" s="66" t="s">
        <v>36</v>
      </c>
      <c r="B469" s="66" t="s">
        <v>269</v>
      </c>
      <c r="C469" s="66" t="s">
        <v>688</v>
      </c>
      <c r="D469" s="66" t="s">
        <v>700</v>
      </c>
      <c r="E469" s="102" t="n">
        <v>80</v>
      </c>
      <c r="F469" s="66" t="s">
        <v>177</v>
      </c>
    </row>
    <row r="470" customFormat="false" ht="14.25" hidden="true" customHeight="false" outlineLevel="0" collapsed="false">
      <c r="A470" s="75" t="s">
        <v>36</v>
      </c>
      <c r="B470" s="75" t="s">
        <v>269</v>
      </c>
      <c r="C470" s="75" t="s">
        <v>688</v>
      </c>
      <c r="D470" s="75" t="s">
        <v>701</v>
      </c>
      <c r="E470" s="103" t="n">
        <v>80</v>
      </c>
      <c r="F470" s="75" t="s">
        <v>177</v>
      </c>
    </row>
    <row r="471" customFormat="false" ht="14.25" hidden="true" customHeight="false" outlineLevel="0" collapsed="false">
      <c r="A471" s="66" t="s">
        <v>36</v>
      </c>
      <c r="B471" s="66" t="s">
        <v>269</v>
      </c>
      <c r="C471" s="66" t="s">
        <v>688</v>
      </c>
      <c r="D471" s="66" t="s">
        <v>702</v>
      </c>
      <c r="E471" s="102" t="n">
        <v>100</v>
      </c>
      <c r="F471" s="66" t="s">
        <v>177</v>
      </c>
    </row>
    <row r="472" customFormat="false" ht="14.25" hidden="true" customHeight="false" outlineLevel="0" collapsed="false">
      <c r="A472" s="75" t="s">
        <v>36</v>
      </c>
      <c r="B472" s="75" t="s">
        <v>269</v>
      </c>
      <c r="C472" s="75" t="s">
        <v>688</v>
      </c>
      <c r="D472" s="75" t="s">
        <v>703</v>
      </c>
      <c r="E472" s="103" t="n">
        <v>80</v>
      </c>
      <c r="F472" s="75" t="s">
        <v>177</v>
      </c>
    </row>
    <row r="473" customFormat="false" ht="14.25" hidden="true" customHeight="false" outlineLevel="0" collapsed="false">
      <c r="A473" s="66" t="s">
        <v>36</v>
      </c>
      <c r="B473" s="66" t="s">
        <v>269</v>
      </c>
      <c r="C473" s="66" t="s">
        <v>688</v>
      </c>
      <c r="D473" s="66" t="s">
        <v>704</v>
      </c>
      <c r="E473" s="102" t="n">
        <v>15</v>
      </c>
      <c r="F473" s="66" t="s">
        <v>177</v>
      </c>
    </row>
    <row r="474" customFormat="false" ht="14.25" hidden="true" customHeight="false" outlineLevel="0" collapsed="false">
      <c r="A474" s="75" t="s">
        <v>36</v>
      </c>
      <c r="B474" s="75" t="s">
        <v>269</v>
      </c>
      <c r="C474" s="75" t="s">
        <v>688</v>
      </c>
      <c r="D474" s="75" t="s">
        <v>705</v>
      </c>
      <c r="E474" s="103" t="n">
        <v>100</v>
      </c>
      <c r="F474" s="75" t="s">
        <v>177</v>
      </c>
    </row>
    <row r="475" customFormat="false" ht="14.25" hidden="true" customHeight="false" outlineLevel="0" collapsed="false">
      <c r="A475" s="66" t="s">
        <v>36</v>
      </c>
      <c r="B475" s="66" t="s">
        <v>269</v>
      </c>
      <c r="C475" s="66" t="s">
        <v>688</v>
      </c>
      <c r="D475" s="66" t="s">
        <v>706</v>
      </c>
      <c r="E475" s="102" t="n">
        <v>80</v>
      </c>
      <c r="F475" s="66" t="s">
        <v>177</v>
      </c>
    </row>
    <row r="476" customFormat="false" ht="14.25" hidden="true" customHeight="false" outlineLevel="0" collapsed="false">
      <c r="A476" s="75" t="s">
        <v>36</v>
      </c>
      <c r="B476" s="75" t="s">
        <v>269</v>
      </c>
      <c r="C476" s="75" t="s">
        <v>688</v>
      </c>
      <c r="D476" s="75" t="s">
        <v>707</v>
      </c>
      <c r="E476" s="103" t="n">
        <v>80</v>
      </c>
      <c r="F476" s="75" t="s">
        <v>177</v>
      </c>
    </row>
    <row r="477" customFormat="false" ht="14.25" hidden="true" customHeight="false" outlineLevel="0" collapsed="false">
      <c r="A477" s="66" t="s">
        <v>36</v>
      </c>
      <c r="B477" s="66" t="s">
        <v>269</v>
      </c>
      <c r="C477" s="66" t="s">
        <v>688</v>
      </c>
      <c r="D477" s="66" t="s">
        <v>708</v>
      </c>
      <c r="E477" s="102" t="n">
        <v>54</v>
      </c>
      <c r="F477" s="66" t="s">
        <v>175</v>
      </c>
    </row>
    <row r="478" customFormat="false" ht="14.25" hidden="true" customHeight="false" outlineLevel="0" collapsed="false">
      <c r="A478" s="75" t="s">
        <v>36</v>
      </c>
      <c r="B478" s="75" t="s">
        <v>269</v>
      </c>
      <c r="C478" s="75" t="s">
        <v>709</v>
      </c>
      <c r="D478" s="75" t="s">
        <v>710</v>
      </c>
      <c r="E478" s="103" t="n">
        <v>80</v>
      </c>
      <c r="F478" s="75" t="s">
        <v>177</v>
      </c>
    </row>
    <row r="479" customFormat="false" ht="14.25" hidden="true" customHeight="false" outlineLevel="0" collapsed="false">
      <c r="A479" s="66" t="s">
        <v>36</v>
      </c>
      <c r="B479" s="66" t="s">
        <v>269</v>
      </c>
      <c r="C479" s="66" t="s">
        <v>709</v>
      </c>
      <c r="D479" s="66" t="s">
        <v>711</v>
      </c>
      <c r="E479" s="102" t="n">
        <v>80</v>
      </c>
      <c r="F479" s="66" t="s">
        <v>177</v>
      </c>
    </row>
    <row r="480" customFormat="false" ht="14.25" hidden="true" customHeight="false" outlineLevel="0" collapsed="false">
      <c r="A480" s="75" t="s">
        <v>36</v>
      </c>
      <c r="B480" s="75" t="s">
        <v>269</v>
      </c>
      <c r="C480" s="75" t="s">
        <v>709</v>
      </c>
      <c r="D480" s="75" t="s">
        <v>712</v>
      </c>
      <c r="E480" s="103" t="n">
        <v>140.4</v>
      </c>
      <c r="F480" s="75" t="s">
        <v>190</v>
      </c>
    </row>
    <row r="481" customFormat="false" ht="14.25" hidden="true" customHeight="false" outlineLevel="0" collapsed="false">
      <c r="A481" s="66" t="s">
        <v>36</v>
      </c>
      <c r="B481" s="66" t="s">
        <v>269</v>
      </c>
      <c r="C481" s="66" t="s">
        <v>709</v>
      </c>
      <c r="D481" s="66" t="s">
        <v>713</v>
      </c>
      <c r="E481" s="102" t="n">
        <v>80</v>
      </c>
      <c r="F481" s="66" t="s">
        <v>177</v>
      </c>
    </row>
    <row r="482" customFormat="false" ht="14.25" hidden="true" customHeight="false" outlineLevel="0" collapsed="false">
      <c r="A482" s="75" t="s">
        <v>36</v>
      </c>
      <c r="B482" s="75" t="s">
        <v>269</v>
      </c>
      <c r="C482" s="75" t="s">
        <v>709</v>
      </c>
      <c r="D482" s="75" t="s">
        <v>714</v>
      </c>
      <c r="E482" s="103" t="n">
        <v>32.4</v>
      </c>
      <c r="F482" s="75" t="s">
        <v>190</v>
      </c>
    </row>
    <row r="483" customFormat="false" ht="14.25" hidden="true" customHeight="false" outlineLevel="0" collapsed="false">
      <c r="A483" s="66" t="s">
        <v>36</v>
      </c>
      <c r="B483" s="66" t="s">
        <v>269</v>
      </c>
      <c r="C483" s="66" t="s">
        <v>709</v>
      </c>
      <c r="D483" s="66" t="s">
        <v>715</v>
      </c>
      <c r="E483" s="102" t="n">
        <v>32.4</v>
      </c>
      <c r="F483" s="66" t="s">
        <v>175</v>
      </c>
    </row>
    <row r="484" customFormat="false" ht="14.25" hidden="true" customHeight="false" outlineLevel="0" collapsed="false">
      <c r="A484" s="75" t="s">
        <v>36</v>
      </c>
      <c r="B484" s="75" t="s">
        <v>269</v>
      </c>
      <c r="C484" s="75" t="s">
        <v>709</v>
      </c>
      <c r="D484" s="75" t="s">
        <v>716</v>
      </c>
      <c r="E484" s="103" t="n">
        <v>50</v>
      </c>
      <c r="F484" s="75" t="s">
        <v>177</v>
      </c>
    </row>
    <row r="485" customFormat="false" ht="14.25" hidden="true" customHeight="false" outlineLevel="0" collapsed="false">
      <c r="A485" s="66" t="s">
        <v>36</v>
      </c>
      <c r="B485" s="66" t="s">
        <v>269</v>
      </c>
      <c r="C485" s="66" t="s">
        <v>709</v>
      </c>
      <c r="D485" s="66" t="s">
        <v>717</v>
      </c>
      <c r="E485" s="102" t="n">
        <v>50</v>
      </c>
      <c r="F485" s="66" t="s">
        <v>177</v>
      </c>
    </row>
    <row r="486" customFormat="false" ht="14.25" hidden="true" customHeight="false" outlineLevel="0" collapsed="false">
      <c r="A486" s="75" t="s">
        <v>36</v>
      </c>
      <c r="B486" s="75" t="s">
        <v>269</v>
      </c>
      <c r="C486" s="75" t="s">
        <v>709</v>
      </c>
      <c r="D486" s="75" t="s">
        <v>718</v>
      </c>
      <c r="E486" s="103" t="n">
        <v>50</v>
      </c>
      <c r="F486" s="75" t="s">
        <v>177</v>
      </c>
    </row>
    <row r="487" customFormat="false" ht="14.25" hidden="true" customHeight="false" outlineLevel="0" collapsed="false">
      <c r="A487" s="66" t="s">
        <v>36</v>
      </c>
      <c r="B487" s="66" t="s">
        <v>269</v>
      </c>
      <c r="C487" s="66" t="s">
        <v>719</v>
      </c>
      <c r="D487" s="66" t="s">
        <v>720</v>
      </c>
      <c r="E487" s="102" t="n">
        <v>21.6</v>
      </c>
      <c r="F487" s="66" t="s">
        <v>175</v>
      </c>
    </row>
    <row r="488" customFormat="false" ht="14.25" hidden="true" customHeight="false" outlineLevel="0" collapsed="false">
      <c r="A488" s="75" t="s">
        <v>36</v>
      </c>
      <c r="B488" s="75" t="s">
        <v>269</v>
      </c>
      <c r="C488" s="75" t="s">
        <v>719</v>
      </c>
      <c r="D488" s="75" t="s">
        <v>721</v>
      </c>
      <c r="E488" s="103" t="n">
        <v>32.4</v>
      </c>
      <c r="F488" s="75" t="s">
        <v>190</v>
      </c>
    </row>
    <row r="489" customFormat="false" ht="14.25" hidden="true" customHeight="false" outlineLevel="0" collapsed="false">
      <c r="A489" s="66" t="s">
        <v>36</v>
      </c>
      <c r="B489" s="66" t="s">
        <v>269</v>
      </c>
      <c r="C489" s="66" t="s">
        <v>719</v>
      </c>
      <c r="D489" s="66" t="s">
        <v>722</v>
      </c>
      <c r="E489" s="102" t="n">
        <v>32.4</v>
      </c>
      <c r="F489" s="66" t="s">
        <v>190</v>
      </c>
    </row>
    <row r="490" customFormat="false" ht="14.25" hidden="true" customHeight="false" outlineLevel="0" collapsed="false">
      <c r="A490" s="75" t="s">
        <v>36</v>
      </c>
      <c r="B490" s="75" t="s">
        <v>269</v>
      </c>
      <c r="C490" s="75" t="s">
        <v>719</v>
      </c>
      <c r="D490" s="75" t="s">
        <v>723</v>
      </c>
      <c r="E490" s="103" t="n">
        <v>21.6</v>
      </c>
      <c r="F490" s="75" t="s">
        <v>190</v>
      </c>
    </row>
    <row r="491" customFormat="false" ht="14.25" hidden="true" customHeight="false" outlineLevel="0" collapsed="false">
      <c r="A491" s="66" t="s">
        <v>36</v>
      </c>
      <c r="B491" s="66" t="s">
        <v>269</v>
      </c>
      <c r="C491" s="66" t="s">
        <v>719</v>
      </c>
      <c r="D491" s="66" t="s">
        <v>724</v>
      </c>
      <c r="E491" s="102" t="n">
        <v>21.6</v>
      </c>
      <c r="F491" s="66" t="s">
        <v>190</v>
      </c>
    </row>
    <row r="492" customFormat="false" ht="14.25" hidden="true" customHeight="false" outlineLevel="0" collapsed="false">
      <c r="A492" s="75" t="s">
        <v>36</v>
      </c>
      <c r="B492" s="75" t="s">
        <v>269</v>
      </c>
      <c r="C492" s="75" t="s">
        <v>719</v>
      </c>
      <c r="D492" s="75" t="s">
        <v>725</v>
      </c>
      <c r="E492" s="103" t="n">
        <v>50</v>
      </c>
      <c r="F492" s="75" t="s">
        <v>177</v>
      </c>
    </row>
    <row r="493" customFormat="false" ht="14.25" hidden="true" customHeight="false" outlineLevel="0" collapsed="false">
      <c r="A493" s="66" t="s">
        <v>36</v>
      </c>
      <c r="B493" s="66" t="s">
        <v>269</v>
      </c>
      <c r="C493" s="66" t="s">
        <v>719</v>
      </c>
      <c r="D493" s="66" t="s">
        <v>726</v>
      </c>
      <c r="E493" s="102" t="n">
        <v>80</v>
      </c>
      <c r="F493" s="66" t="s">
        <v>177</v>
      </c>
    </row>
    <row r="494" customFormat="false" ht="14.25" hidden="true" customHeight="false" outlineLevel="0" collapsed="false">
      <c r="A494" s="75" t="s">
        <v>36</v>
      </c>
      <c r="B494" s="75" t="s">
        <v>269</v>
      </c>
      <c r="C494" s="75" t="s">
        <v>719</v>
      </c>
      <c r="D494" s="75" t="s">
        <v>727</v>
      </c>
      <c r="E494" s="103" t="n">
        <v>32.4</v>
      </c>
      <c r="F494" s="75" t="s">
        <v>190</v>
      </c>
    </row>
    <row r="495" customFormat="false" ht="14.25" hidden="true" customHeight="false" outlineLevel="0" collapsed="false">
      <c r="A495" s="66" t="s">
        <v>36</v>
      </c>
      <c r="B495" s="66" t="s">
        <v>269</v>
      </c>
      <c r="C495" s="66" t="s">
        <v>719</v>
      </c>
      <c r="D495" s="66" t="s">
        <v>728</v>
      </c>
      <c r="E495" s="102" t="n">
        <v>54</v>
      </c>
      <c r="F495" s="66" t="s">
        <v>175</v>
      </c>
    </row>
    <row r="496" customFormat="false" ht="14.25" hidden="true" customHeight="false" outlineLevel="0" collapsed="false">
      <c r="A496" s="75" t="s">
        <v>36</v>
      </c>
      <c r="B496" s="75" t="s">
        <v>269</v>
      </c>
      <c r="C496" s="75" t="s">
        <v>719</v>
      </c>
      <c r="D496" s="75" t="s">
        <v>729</v>
      </c>
      <c r="E496" s="103" t="n">
        <v>21.6</v>
      </c>
      <c r="F496" s="75" t="s">
        <v>190</v>
      </c>
    </row>
    <row r="497" customFormat="false" ht="14.25" hidden="true" customHeight="false" outlineLevel="0" collapsed="false">
      <c r="A497" s="66" t="s">
        <v>36</v>
      </c>
      <c r="B497" s="66" t="s">
        <v>269</v>
      </c>
      <c r="C497" s="66" t="s">
        <v>719</v>
      </c>
      <c r="D497" s="66" t="s">
        <v>730</v>
      </c>
      <c r="E497" s="102" t="n">
        <v>21.6</v>
      </c>
      <c r="F497" s="66" t="s">
        <v>175</v>
      </c>
    </row>
    <row r="498" customFormat="false" ht="14.25" hidden="true" customHeight="false" outlineLevel="0" collapsed="false">
      <c r="A498" s="75" t="s">
        <v>36</v>
      </c>
      <c r="B498" s="75" t="s">
        <v>269</v>
      </c>
      <c r="C498" s="75" t="s">
        <v>719</v>
      </c>
      <c r="D498" s="75" t="s">
        <v>731</v>
      </c>
      <c r="E498" s="103" t="n">
        <v>32.4</v>
      </c>
      <c r="F498" s="75" t="s">
        <v>190</v>
      </c>
    </row>
    <row r="499" customFormat="false" ht="14.25" hidden="true" customHeight="false" outlineLevel="0" collapsed="false">
      <c r="A499" s="66" t="s">
        <v>36</v>
      </c>
      <c r="B499" s="66" t="s">
        <v>269</v>
      </c>
      <c r="C499" s="66" t="s">
        <v>719</v>
      </c>
      <c r="D499" s="66" t="s">
        <v>732</v>
      </c>
      <c r="E499" s="102" t="n">
        <v>21.6</v>
      </c>
      <c r="F499" s="66" t="s">
        <v>175</v>
      </c>
    </row>
    <row r="500" customFormat="false" ht="14.25" hidden="true" customHeight="false" outlineLevel="0" collapsed="false">
      <c r="A500" s="75" t="s">
        <v>36</v>
      </c>
      <c r="B500" s="75" t="s">
        <v>269</v>
      </c>
      <c r="C500" s="75" t="s">
        <v>719</v>
      </c>
      <c r="D500" s="75" t="s">
        <v>733</v>
      </c>
      <c r="E500" s="103" t="n">
        <v>21.6</v>
      </c>
      <c r="F500" s="75" t="s">
        <v>190</v>
      </c>
    </row>
    <row r="501" customFormat="false" ht="14.25" hidden="true" customHeight="false" outlineLevel="0" collapsed="false">
      <c r="A501" s="66" t="s">
        <v>36</v>
      </c>
      <c r="B501" s="66" t="s">
        <v>269</v>
      </c>
      <c r="C501" s="66" t="s">
        <v>719</v>
      </c>
      <c r="D501" s="66" t="s">
        <v>734</v>
      </c>
      <c r="E501" s="102" t="n">
        <v>21.6</v>
      </c>
      <c r="F501" s="66" t="s">
        <v>190</v>
      </c>
    </row>
    <row r="502" customFormat="false" ht="14.25" hidden="true" customHeight="false" outlineLevel="0" collapsed="false">
      <c r="A502" s="75" t="s">
        <v>36</v>
      </c>
      <c r="B502" s="75" t="s">
        <v>269</v>
      </c>
      <c r="C502" s="75" t="s">
        <v>719</v>
      </c>
      <c r="D502" s="75" t="s">
        <v>735</v>
      </c>
      <c r="E502" s="103" t="n">
        <v>97.2</v>
      </c>
      <c r="F502" s="75" t="s">
        <v>190</v>
      </c>
    </row>
    <row r="503" customFormat="false" ht="14.25" hidden="true" customHeight="false" outlineLevel="0" collapsed="false">
      <c r="A503" s="66" t="s">
        <v>36</v>
      </c>
      <c r="B503" s="66" t="s">
        <v>269</v>
      </c>
      <c r="C503" s="66" t="s">
        <v>719</v>
      </c>
      <c r="D503" s="66" t="s">
        <v>736</v>
      </c>
      <c r="E503" s="102" t="n">
        <v>54</v>
      </c>
      <c r="F503" s="66" t="s">
        <v>175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6F1"/>
    <pageSetUpPr fitToPage="false"/>
  </sheetPr>
  <dimension ref="A1:K2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J17" activeCellId="0" sqref="J17"/>
    </sheetView>
  </sheetViews>
  <sheetFormatPr defaultColWidth="8.71484375" defaultRowHeight="14.2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24"/>
    <col collapsed="false" customWidth="true" hidden="false" outlineLevel="0" max="4" min="4" style="104" width="10"/>
    <col collapsed="false" customWidth="true" hidden="false" outlineLevel="0" max="6" min="5" style="104" width="20"/>
    <col collapsed="false" customWidth="true" hidden="false" outlineLevel="0" max="9" min="9" style="0" width="16.43"/>
    <col collapsed="false" customWidth="true" hidden="false" outlineLevel="0" max="10" min="10" style="0" width="19"/>
  </cols>
  <sheetData>
    <row r="1" customFormat="false" ht="16.5" hidden="false" customHeight="true" outlineLevel="0" collapsed="false">
      <c r="A1" s="105" t="s">
        <v>737</v>
      </c>
      <c r="B1" s="105"/>
      <c r="C1" s="105"/>
      <c r="D1" s="105"/>
      <c r="E1" s="105"/>
      <c r="F1" s="105"/>
    </row>
    <row r="2" customFormat="false" ht="14.25" hidden="false" customHeight="false" outlineLevel="0" collapsed="false">
      <c r="A2" s="106" t="s">
        <v>738</v>
      </c>
      <c r="B2" s="106"/>
      <c r="C2" s="106"/>
      <c r="D2" s="106"/>
      <c r="E2" s="106"/>
      <c r="F2" s="106"/>
    </row>
    <row r="4" customFormat="false" ht="25.5" hidden="false" customHeight="true" outlineLevel="0" collapsed="false">
      <c r="A4" s="68" t="s">
        <v>169</v>
      </c>
      <c r="B4" s="68" t="s">
        <v>170</v>
      </c>
      <c r="C4" s="68" t="s">
        <v>739</v>
      </c>
      <c r="D4" s="107" t="s">
        <v>17</v>
      </c>
      <c r="E4" s="107" t="s">
        <v>148</v>
      </c>
      <c r="F4" s="107" t="s">
        <v>740</v>
      </c>
      <c r="I4" s="108" t="s">
        <v>741</v>
      </c>
      <c r="J4" s="108" t="s">
        <v>742</v>
      </c>
    </row>
    <row r="5" customFormat="false" ht="14.25" hidden="false" customHeight="false" outlineLevel="0" collapsed="false">
      <c r="A5" s="109" t="s">
        <v>269</v>
      </c>
      <c r="B5" s="110"/>
      <c r="C5" s="110"/>
      <c r="D5" s="111" t="n">
        <f aca="false">COUNTIFS('Données sites'!$D$2:$D$500,$A5)</f>
        <v>106</v>
      </c>
      <c r="E5" s="112" t="n">
        <f aca="false">SUMIFS('Données sites'!$G$2:$G$500,'Données sites'!$D$2:$D$500,$A5)</f>
        <v>5363.4</v>
      </c>
      <c r="F5" s="112" t="n">
        <f aca="false">IFERROR(E5/D5,0)</f>
        <v>50.5981132075472</v>
      </c>
      <c r="I5" s="58" t="s">
        <v>743</v>
      </c>
      <c r="J5" s="113" t="n">
        <f aca="false">D227/30</f>
        <v>1.13333333333333</v>
      </c>
      <c r="K5" s="104" t="n">
        <v>1</v>
      </c>
    </row>
    <row r="6" customFormat="false" ht="14.25" hidden="false" customHeight="false" outlineLevel="0" collapsed="false">
      <c r="A6" s="114"/>
      <c r="B6" s="75" t="s">
        <v>688</v>
      </c>
      <c r="C6" s="75" t="s">
        <v>701</v>
      </c>
      <c r="D6" s="77" t="n">
        <f aca="false">COUNTIFS('Données sites'!$D$2:$D$500,$A$5,'Données sites'!$E$2:$E$500,$B6,'Données sites'!$F$2:$F$500,$C6)</f>
        <v>3</v>
      </c>
      <c r="E6" s="78" t="n">
        <f aca="false">SUMIFS('Données sites'!$G$2:$G$500,'Données sites'!$D$2:$D$500,$A$5,'Données sites'!$E$2:$E$500,$B6,'Données sites'!$F$2:$F$500,$C6)</f>
        <v>280</v>
      </c>
      <c r="F6" s="78" t="n">
        <f aca="false">IFERROR(E6/D6,0)</f>
        <v>93.3333333333333</v>
      </c>
      <c r="I6" s="58" t="s">
        <v>744</v>
      </c>
      <c r="J6" s="113" t="n">
        <v>2.63333333333333</v>
      </c>
      <c r="K6" s="104" t="n">
        <v>3</v>
      </c>
    </row>
    <row r="7" customFormat="false" ht="14.25" hidden="false" customHeight="false" outlineLevel="0" collapsed="false">
      <c r="A7" s="115"/>
      <c r="B7" s="66" t="s">
        <v>688</v>
      </c>
      <c r="C7" s="66" t="s">
        <v>703</v>
      </c>
      <c r="D7" s="89" t="n">
        <f aca="false">COUNTIFS('Données sites'!$D$2:$D$500,$A$5,'Données sites'!$E$2:$E$500,$B7,'Données sites'!$F$2:$F$500,$C7)</f>
        <v>3</v>
      </c>
      <c r="E7" s="90" t="n">
        <f aca="false">SUMIFS('Données sites'!$G$2:$G$500,'Données sites'!$D$2:$D$500,$A$5,'Données sites'!$E$2:$E$500,$B7,'Données sites'!$F$2:$F$500,$C7)</f>
        <v>214</v>
      </c>
      <c r="F7" s="90" t="n">
        <f aca="false">IFERROR(E7/D7,0)</f>
        <v>71.3333333333333</v>
      </c>
      <c r="I7" s="58" t="s">
        <v>745</v>
      </c>
      <c r="J7" s="113" t="n">
        <f aca="false">46/30</f>
        <v>1.53333333333333</v>
      </c>
      <c r="K7" s="104" t="n">
        <v>2</v>
      </c>
    </row>
    <row r="8" customFormat="false" ht="14.25" hidden="false" customHeight="false" outlineLevel="0" collapsed="false">
      <c r="A8" s="114"/>
      <c r="B8" s="75" t="s">
        <v>688</v>
      </c>
      <c r="C8" s="75" t="s">
        <v>746</v>
      </c>
      <c r="D8" s="77" t="n">
        <f aca="false">COUNTIFS('Données sites'!$D$2:$D$500,$A$5,'Données sites'!$E$2:$E$500,$B8,'Données sites'!$F$2:$F$500,$C8)</f>
        <v>4</v>
      </c>
      <c r="E8" s="78" t="n">
        <f aca="false">SUMIFS('Données sites'!$G$2:$G$500,'Données sites'!$D$2:$D$500,$A$5,'Données sites'!$E$2:$E$500,$B8,'Données sites'!$F$2:$F$500,$C8)</f>
        <v>330</v>
      </c>
      <c r="F8" s="78" t="n">
        <f aca="false">IFERROR(E8/D8,0)</f>
        <v>82.5</v>
      </c>
      <c r="I8" s="58" t="s">
        <v>747</v>
      </c>
      <c r="J8" s="113" t="n">
        <f aca="false">55/30</f>
        <v>1.83333333333333</v>
      </c>
      <c r="K8" s="104" t="n">
        <v>2</v>
      </c>
    </row>
    <row r="9" customFormat="false" ht="14.25" hidden="false" customHeight="false" outlineLevel="0" collapsed="false">
      <c r="A9" s="115"/>
      <c r="B9" s="66" t="s">
        <v>688</v>
      </c>
      <c r="C9" s="66" t="s">
        <v>748</v>
      </c>
      <c r="D9" s="89" t="n">
        <f aca="false">COUNTIFS('Données sites'!$D$2:$D$500,$A$5,'Données sites'!$E$2:$E$500,$B9,'Données sites'!$F$2:$F$500,$C9)</f>
        <v>10</v>
      </c>
      <c r="E9" s="90" t="n">
        <f aca="false">SUMIFS('Données sites'!$G$2:$G$500,'Données sites'!$D$2:$D$500,$A$5,'Données sites'!$E$2:$E$500,$B9,'Données sites'!$F$2:$F$500,$C9)</f>
        <v>465</v>
      </c>
      <c r="F9" s="90" t="n">
        <f aca="false">IFERROR(E9/D9,0)</f>
        <v>46.5</v>
      </c>
      <c r="I9" s="58" t="s">
        <v>749</v>
      </c>
      <c r="J9" s="113" t="n">
        <f aca="false">49/30</f>
        <v>1.63333333333333</v>
      </c>
      <c r="K9" s="104" t="n">
        <v>2</v>
      </c>
    </row>
    <row r="10" customFormat="false" ht="14.25" hidden="false" customHeight="false" outlineLevel="0" collapsed="false">
      <c r="A10" s="114"/>
      <c r="B10" s="75" t="s">
        <v>719</v>
      </c>
      <c r="C10" s="75" t="s">
        <v>750</v>
      </c>
      <c r="D10" s="77" t="n">
        <f aca="false">COUNTIFS('Données sites'!$D$2:$D$500,$A$5,'Données sites'!$E$2:$E$500,$B10,'Données sites'!$F$2:$F$500,$C10)</f>
        <v>5</v>
      </c>
      <c r="E10" s="78" t="n">
        <f aca="false">SUMIFS('Données sites'!$G$2:$G$500,'Données sites'!$D$2:$D$500,$A$5,'Données sites'!$E$2:$E$500,$B10,'Données sites'!$F$2:$F$500,$C10)</f>
        <v>118.8</v>
      </c>
      <c r="F10" s="78" t="n">
        <f aca="false">IFERROR(E10/D10,0)</f>
        <v>23.76</v>
      </c>
      <c r="I10" s="58" t="s">
        <v>751</v>
      </c>
      <c r="J10" s="113" t="n">
        <f aca="false">167/30</f>
        <v>5.56666666666667</v>
      </c>
      <c r="K10" s="104" t="n">
        <v>6</v>
      </c>
    </row>
    <row r="11" customFormat="false" ht="14.25" hidden="false" customHeight="false" outlineLevel="0" collapsed="false">
      <c r="A11" s="115"/>
      <c r="B11" s="66" t="s">
        <v>719</v>
      </c>
      <c r="C11" s="66" t="s">
        <v>752</v>
      </c>
      <c r="D11" s="89" t="n">
        <f aca="false">COUNTIFS('Données sites'!$D$2:$D$500,$A$5,'Données sites'!$E$2:$E$500,$B11,'Données sites'!$F$2:$F$500,$C11)</f>
        <v>3</v>
      </c>
      <c r="E11" s="90" t="n">
        <f aca="false">SUMIFS('Données sites'!$G$2:$G$500,'Données sites'!$D$2:$D$500,$A$5,'Données sites'!$E$2:$E$500,$B11,'Données sites'!$F$2:$F$500,$C11)</f>
        <v>140.4</v>
      </c>
      <c r="F11" s="90" t="n">
        <f aca="false">IFERROR(E11/D11,0)</f>
        <v>46.8</v>
      </c>
      <c r="I11" s="58" t="s">
        <v>753</v>
      </c>
      <c r="J11" s="113" t="n">
        <f aca="false">27/30</f>
        <v>0.9</v>
      </c>
      <c r="K11" s="104" t="n">
        <v>1</v>
      </c>
    </row>
    <row r="12" customFormat="false" ht="14.25" hidden="false" customHeight="false" outlineLevel="0" collapsed="false">
      <c r="A12" s="114"/>
      <c r="B12" s="75" t="s">
        <v>719</v>
      </c>
      <c r="C12" s="75" t="s">
        <v>754</v>
      </c>
      <c r="D12" s="77" t="n">
        <f aca="false">COUNTIFS('Données sites'!$D$2:$D$500,$A$5,'Données sites'!$E$2:$E$500,$B12,'Données sites'!$F$2:$F$500,$C12)</f>
        <v>4</v>
      </c>
      <c r="E12" s="78" t="n">
        <f aca="false">SUMIFS('Données sites'!$G$2:$G$500,'Données sites'!$D$2:$D$500,$A$5,'Données sites'!$E$2:$E$500,$B12,'Données sites'!$F$2:$F$500,$C12)</f>
        <v>97.2</v>
      </c>
      <c r="F12" s="78" t="n">
        <f aca="false">IFERROR(E12/D12,0)</f>
        <v>24.3</v>
      </c>
      <c r="I12" s="58" t="s">
        <v>755</v>
      </c>
      <c r="J12" s="113" t="n">
        <f aca="false">42/30</f>
        <v>1.4</v>
      </c>
      <c r="K12" s="104" t="n">
        <v>1</v>
      </c>
    </row>
    <row r="13" customFormat="false" ht="14.25" hidden="false" customHeight="false" outlineLevel="0" collapsed="false">
      <c r="A13" s="115"/>
      <c r="B13" s="66" t="s">
        <v>719</v>
      </c>
      <c r="C13" s="66" t="s">
        <v>726</v>
      </c>
      <c r="D13" s="89" t="n">
        <f aca="false">COUNTIFS('Données sites'!$D$2:$D$500,$A$5,'Données sites'!$E$2:$E$500,$B13,'Données sites'!$F$2:$F$500,$C13)</f>
        <v>5</v>
      </c>
      <c r="E13" s="90" t="n">
        <f aca="false">SUMIFS('Données sites'!$G$2:$G$500,'Données sites'!$D$2:$D$500,$A$5,'Données sites'!$E$2:$E$500,$B13,'Données sites'!$F$2:$F$500,$C13)</f>
        <v>281.2</v>
      </c>
      <c r="F13" s="90" t="n">
        <f aca="false">IFERROR(E13/D13,0)</f>
        <v>56.24</v>
      </c>
    </row>
    <row r="14" customFormat="false" ht="14.25" hidden="false" customHeight="false" outlineLevel="0" collapsed="false">
      <c r="A14" s="114"/>
      <c r="B14" s="75" t="s">
        <v>270</v>
      </c>
      <c r="C14" s="75" t="s">
        <v>710</v>
      </c>
      <c r="D14" s="77" t="n">
        <f aca="false">COUNTIFS('Données sites'!$D$2:$D$500,$A$5,'Données sites'!$E$2:$E$500,$B14,'Données sites'!$F$2:$F$500,$C14)</f>
        <v>1</v>
      </c>
      <c r="E14" s="78" t="n">
        <f aca="false">SUMIFS('Données sites'!$G$2:$G$500,'Données sites'!$D$2:$D$500,$A$5,'Données sites'!$E$2:$E$500,$B14,'Données sites'!$F$2:$F$500,$C14)</f>
        <v>81</v>
      </c>
      <c r="F14" s="78" t="n">
        <f aca="false">IFERROR(E14/D14,0)</f>
        <v>81</v>
      </c>
    </row>
    <row r="15" customFormat="false" ht="14.25" hidden="false" customHeight="false" outlineLevel="0" collapsed="false">
      <c r="A15" s="115"/>
      <c r="B15" s="66" t="s">
        <v>270</v>
      </c>
      <c r="C15" s="66" t="s">
        <v>280</v>
      </c>
      <c r="D15" s="89" t="n">
        <f aca="false">COUNTIFS('Données sites'!$D$2:$D$500,$A$5,'Données sites'!$E$2:$E$500,$B15,'Données sites'!$F$2:$F$500,$C15)</f>
        <v>5</v>
      </c>
      <c r="E15" s="90" t="n">
        <f aca="false">SUMIFS('Données sites'!$G$2:$G$500,'Données sites'!$D$2:$D$500,$A$5,'Données sites'!$E$2:$E$500,$B15,'Données sites'!$F$2:$F$500,$C15)</f>
        <v>194</v>
      </c>
      <c r="F15" s="90" t="n">
        <f aca="false">IFERROR(E15/D15,0)</f>
        <v>38.8</v>
      </c>
    </row>
    <row r="16" customFormat="false" ht="14.25" hidden="false" customHeight="false" outlineLevel="0" collapsed="false">
      <c r="A16" s="114"/>
      <c r="B16" s="75" t="s">
        <v>270</v>
      </c>
      <c r="C16" s="75" t="s">
        <v>756</v>
      </c>
      <c r="D16" s="77" t="n">
        <f aca="false">COUNTIFS('Données sites'!$D$2:$D$500,$A$5,'Données sites'!$E$2:$E$500,$B16,'Données sites'!$F$2:$F$500,$C16)</f>
        <v>2</v>
      </c>
      <c r="E16" s="78" t="n">
        <f aca="false">SUMIFS('Données sites'!$G$2:$G$500,'Données sites'!$D$2:$D$500,$A$5,'Données sites'!$E$2:$E$500,$B16,'Données sites'!$F$2:$F$500,$C16)</f>
        <v>75.6</v>
      </c>
      <c r="F16" s="78" t="n">
        <f aca="false">IFERROR(E16/D16,0)</f>
        <v>37.8</v>
      </c>
    </row>
    <row r="17" customFormat="false" ht="14.25" hidden="false" customHeight="false" outlineLevel="0" collapsed="false">
      <c r="A17" s="115"/>
      <c r="B17" s="66" t="s">
        <v>270</v>
      </c>
      <c r="C17" s="66" t="s">
        <v>757</v>
      </c>
      <c r="D17" s="89" t="n">
        <f aca="false">COUNTIFS('Données sites'!$D$2:$D$500,$A$5,'Données sites'!$E$2:$E$500,$B17,'Données sites'!$F$2:$F$500,$C17)</f>
        <v>1</v>
      </c>
      <c r="E17" s="90" t="n">
        <f aca="false">SUMIFS('Données sites'!$G$2:$G$500,'Données sites'!$D$2:$D$500,$A$5,'Données sites'!$E$2:$E$500,$B17,'Données sites'!$F$2:$F$500,$C17)</f>
        <v>32.4</v>
      </c>
      <c r="F17" s="90" t="n">
        <f aca="false">IFERROR(E17/D17,0)</f>
        <v>32.4</v>
      </c>
    </row>
    <row r="18" customFormat="false" ht="14.25" hidden="false" customHeight="false" outlineLevel="0" collapsed="false">
      <c r="A18" s="114"/>
      <c r="B18" s="75" t="s">
        <v>270</v>
      </c>
      <c r="C18" s="75" t="s">
        <v>758</v>
      </c>
      <c r="D18" s="77" t="n">
        <f aca="false">COUNTIFS('Données sites'!$D$2:$D$500,$A$5,'Données sites'!$E$2:$E$500,$B18,'Données sites'!$F$2:$F$500,$C18)</f>
        <v>3</v>
      </c>
      <c r="E18" s="78" t="n">
        <f aca="false">SUMIFS('Données sites'!$G$2:$G$500,'Données sites'!$D$2:$D$500,$A$5,'Données sites'!$E$2:$E$500,$B18,'Données sites'!$F$2:$F$500,$C18)</f>
        <v>97.2</v>
      </c>
      <c r="F18" s="78" t="n">
        <f aca="false">IFERROR(E18/D18,0)</f>
        <v>32.4</v>
      </c>
    </row>
    <row r="19" customFormat="false" ht="14.25" hidden="false" customHeight="false" outlineLevel="0" collapsed="false">
      <c r="A19" s="115"/>
      <c r="B19" s="66" t="s">
        <v>270</v>
      </c>
      <c r="C19" s="66" t="s">
        <v>759</v>
      </c>
      <c r="D19" s="89" t="n">
        <f aca="false">COUNTIFS('Données sites'!$D$2:$D$500,$A$5,'Données sites'!$E$2:$E$500,$B19,'Données sites'!$F$2:$F$500,$C19)</f>
        <v>2</v>
      </c>
      <c r="E19" s="90" t="n">
        <f aca="false">SUMIFS('Données sites'!$G$2:$G$500,'Données sites'!$D$2:$D$500,$A$5,'Données sites'!$E$2:$E$500,$B19,'Données sites'!$F$2:$F$500,$C19)</f>
        <v>64.8</v>
      </c>
      <c r="F19" s="90" t="n">
        <f aca="false">IFERROR(E19/D19,0)</f>
        <v>32.4</v>
      </c>
    </row>
    <row r="20" customFormat="false" ht="14.25" hidden="false" customHeight="false" outlineLevel="0" collapsed="false">
      <c r="A20" s="114"/>
      <c r="B20" s="75" t="s">
        <v>270</v>
      </c>
      <c r="C20" s="75" t="s">
        <v>285</v>
      </c>
      <c r="D20" s="77" t="n">
        <f aca="false">COUNTIFS('Données sites'!$D$2:$D$500,$A$5,'Données sites'!$E$2:$E$500,$B20,'Données sites'!$F$2:$F$500,$C20)</f>
        <v>2</v>
      </c>
      <c r="E20" s="78" t="n">
        <f aca="false">SUMIFS('Données sites'!$G$2:$G$500,'Données sites'!$D$2:$D$500,$A$5,'Données sites'!$E$2:$E$500,$B20,'Données sites'!$F$2:$F$500,$C20)</f>
        <v>101.6</v>
      </c>
      <c r="F20" s="78" t="n">
        <f aca="false">IFERROR(E20/D20,0)</f>
        <v>50.8</v>
      </c>
    </row>
    <row r="21" customFormat="false" ht="14.25" hidden="false" customHeight="false" outlineLevel="0" collapsed="false">
      <c r="A21" s="115"/>
      <c r="B21" s="66" t="s">
        <v>671</v>
      </c>
      <c r="C21" s="66" t="s">
        <v>760</v>
      </c>
      <c r="D21" s="89" t="n">
        <f aca="false">COUNTIFS('Données sites'!$D$2:$D$500,$A$5,'Données sites'!$E$2:$E$500,$B21,'Données sites'!$F$2:$F$500,$C21)</f>
        <v>2</v>
      </c>
      <c r="E21" s="90" t="n">
        <f aca="false">SUMIFS('Données sites'!$G$2:$G$500,'Données sites'!$D$2:$D$500,$A$5,'Données sites'!$E$2:$E$500,$B21,'Données sites'!$F$2:$F$500,$C21)</f>
        <v>47.4</v>
      </c>
      <c r="F21" s="90" t="n">
        <f aca="false">IFERROR(E21/D21,0)</f>
        <v>23.7</v>
      </c>
    </row>
    <row r="22" customFormat="false" ht="14.25" hidden="false" customHeight="false" outlineLevel="0" collapsed="false">
      <c r="A22" s="114"/>
      <c r="B22" s="75" t="s">
        <v>671</v>
      </c>
      <c r="C22" s="75" t="s">
        <v>761</v>
      </c>
      <c r="D22" s="77" t="n">
        <f aca="false">COUNTIFS('Données sites'!$D$2:$D$500,$A$5,'Données sites'!$E$2:$E$500,$B22,'Données sites'!$F$2:$F$500,$C22)</f>
        <v>3</v>
      </c>
      <c r="E22" s="78" t="n">
        <f aca="false">SUMIFS('Données sites'!$G$2:$G$500,'Données sites'!$D$2:$D$500,$A$5,'Données sites'!$E$2:$E$500,$B22,'Données sites'!$F$2:$F$500,$C22)</f>
        <v>189</v>
      </c>
      <c r="F22" s="78" t="n">
        <f aca="false">IFERROR(E22/D22,0)</f>
        <v>63</v>
      </c>
    </row>
    <row r="23" customFormat="false" ht="14.25" hidden="false" customHeight="false" outlineLevel="0" collapsed="false">
      <c r="A23" s="115"/>
      <c r="B23" s="66" t="s">
        <v>671</v>
      </c>
      <c r="C23" s="66" t="s">
        <v>762</v>
      </c>
      <c r="D23" s="89" t="n">
        <f aca="false">COUNTIFS('Données sites'!$D$2:$D$500,$A$5,'Données sites'!$E$2:$E$500,$B23,'Données sites'!$F$2:$F$500,$C23)</f>
        <v>1</v>
      </c>
      <c r="E23" s="90" t="n">
        <f aca="false">SUMIFS('Données sites'!$G$2:$G$500,'Données sites'!$D$2:$D$500,$A$5,'Données sites'!$E$2:$E$500,$B23,'Données sites'!$F$2:$F$500,$C23)</f>
        <v>81</v>
      </c>
      <c r="F23" s="90" t="n">
        <f aca="false">IFERROR(E23/D23,0)</f>
        <v>81</v>
      </c>
    </row>
    <row r="24" customFormat="false" ht="14.25" hidden="false" customHeight="false" outlineLevel="0" collapsed="false">
      <c r="A24" s="114"/>
      <c r="B24" s="75" t="s">
        <v>671</v>
      </c>
      <c r="C24" s="75" t="s">
        <v>763</v>
      </c>
      <c r="D24" s="77" t="n">
        <f aca="false">COUNTIFS('Données sites'!$D$2:$D$500,$A$5,'Données sites'!$E$2:$E$500,$B24,'Données sites'!$F$2:$F$500,$C24)</f>
        <v>3</v>
      </c>
      <c r="E24" s="78" t="n">
        <f aca="false">SUMIFS('Données sites'!$G$2:$G$500,'Données sites'!$D$2:$D$500,$A$5,'Données sites'!$E$2:$E$500,$B24,'Données sites'!$F$2:$F$500,$C24)</f>
        <v>240</v>
      </c>
      <c r="F24" s="78" t="n">
        <f aca="false">IFERROR(E24/D24,0)</f>
        <v>80</v>
      </c>
    </row>
    <row r="25" customFormat="false" ht="14.25" hidden="false" customHeight="false" outlineLevel="0" collapsed="false">
      <c r="A25" s="115"/>
      <c r="B25" s="66" t="s">
        <v>671</v>
      </c>
      <c r="C25" s="66" t="s">
        <v>764</v>
      </c>
      <c r="D25" s="89" t="n">
        <f aca="false">COUNTIFS('Données sites'!$D$2:$D$500,$A$5,'Données sites'!$E$2:$E$500,$B25,'Données sites'!$F$2:$F$500,$C25)</f>
        <v>1</v>
      </c>
      <c r="E25" s="90" t="n">
        <f aca="false">SUMIFS('Données sites'!$G$2:$G$500,'Données sites'!$D$2:$D$500,$A$5,'Données sites'!$E$2:$E$500,$B25,'Données sites'!$F$2:$F$500,$C25)</f>
        <v>30</v>
      </c>
      <c r="F25" s="90" t="n">
        <f aca="false">IFERROR(E25/D25,0)</f>
        <v>30</v>
      </c>
    </row>
    <row r="26" customFormat="false" ht="14.25" hidden="false" customHeight="false" outlineLevel="0" collapsed="false">
      <c r="A26" s="114"/>
      <c r="B26" s="75" t="s">
        <v>671</v>
      </c>
      <c r="C26" s="75" t="s">
        <v>765</v>
      </c>
      <c r="D26" s="77" t="n">
        <f aca="false">COUNTIFS('Données sites'!$D$2:$D$500,$A$5,'Données sites'!$E$2:$E$500,$B26,'Données sites'!$F$2:$F$500,$C26)</f>
        <v>1</v>
      </c>
      <c r="E26" s="78" t="n">
        <f aca="false">SUMIFS('Données sites'!$G$2:$G$500,'Données sites'!$D$2:$D$500,$A$5,'Données sites'!$E$2:$E$500,$B26,'Données sites'!$F$2:$F$500,$C26)</f>
        <v>15</v>
      </c>
      <c r="F26" s="78" t="n">
        <f aca="false">IFERROR(E26/D26,0)</f>
        <v>15</v>
      </c>
    </row>
    <row r="27" customFormat="false" ht="14.25" hidden="false" customHeight="false" outlineLevel="0" collapsed="false">
      <c r="A27" s="115"/>
      <c r="B27" s="66" t="s">
        <v>671</v>
      </c>
      <c r="C27" s="66" t="s">
        <v>766</v>
      </c>
      <c r="D27" s="89" t="n">
        <f aca="false">COUNTIFS('Données sites'!$D$2:$D$500,$A$5,'Données sites'!$E$2:$E$500,$B27,'Données sites'!$F$2:$F$500,$C27)</f>
        <v>1</v>
      </c>
      <c r="E27" s="90" t="n">
        <f aca="false">SUMIFS('Données sites'!$G$2:$G$500,'Données sites'!$D$2:$D$500,$A$5,'Données sites'!$E$2:$E$500,$B27,'Données sites'!$F$2:$F$500,$C27)</f>
        <v>21.6</v>
      </c>
      <c r="F27" s="90" t="n">
        <f aca="false">IFERROR(E27/D27,0)</f>
        <v>21.6</v>
      </c>
    </row>
    <row r="28" customFormat="false" ht="14.25" hidden="false" customHeight="false" outlineLevel="0" collapsed="false">
      <c r="A28" s="114"/>
      <c r="B28" s="75" t="s">
        <v>671</v>
      </c>
      <c r="C28" s="75" t="s">
        <v>683</v>
      </c>
      <c r="D28" s="77" t="n">
        <f aca="false">COUNTIFS('Données sites'!$D$2:$D$500,$A$5,'Données sites'!$E$2:$E$500,$B28,'Données sites'!$F$2:$F$500,$C28)</f>
        <v>4</v>
      </c>
      <c r="E28" s="78" t="n">
        <f aca="false">SUMIFS('Données sites'!$G$2:$G$500,'Données sites'!$D$2:$D$500,$A$5,'Données sites'!$E$2:$E$500,$B28,'Données sites'!$F$2:$F$500,$C28)</f>
        <v>166.4</v>
      </c>
      <c r="F28" s="78" t="n">
        <f aca="false">IFERROR(E28/D28,0)</f>
        <v>41.6</v>
      </c>
    </row>
    <row r="29" customFormat="false" ht="14.25" hidden="false" customHeight="false" outlineLevel="0" collapsed="false">
      <c r="A29" s="115"/>
      <c r="B29" s="66" t="s">
        <v>629</v>
      </c>
      <c r="C29" s="66" t="s">
        <v>767</v>
      </c>
      <c r="D29" s="89" t="n">
        <f aca="false">COUNTIFS('Données sites'!$D$2:$D$500,$A$5,'Données sites'!$E$2:$E$500,$B29,'Données sites'!$F$2:$F$500,$C29)</f>
        <v>1</v>
      </c>
      <c r="E29" s="90" t="n">
        <f aca="false">SUMIFS('Données sites'!$G$2:$G$500,'Données sites'!$D$2:$D$500,$A$5,'Données sites'!$E$2:$E$500,$B29,'Données sites'!$F$2:$F$500,$C29)</f>
        <v>54</v>
      </c>
      <c r="F29" s="90" t="n">
        <f aca="false">IFERROR(E29/D29,0)</f>
        <v>54</v>
      </c>
    </row>
    <row r="30" customFormat="false" ht="14.25" hidden="false" customHeight="false" outlineLevel="0" collapsed="false">
      <c r="A30" s="114"/>
      <c r="B30" s="75" t="s">
        <v>629</v>
      </c>
      <c r="C30" s="75" t="s">
        <v>768</v>
      </c>
      <c r="D30" s="77" t="n">
        <f aca="false">COUNTIFS('Données sites'!$D$2:$D$500,$A$5,'Données sites'!$E$2:$E$500,$B30,'Données sites'!$F$2:$F$500,$C30)</f>
        <v>2</v>
      </c>
      <c r="E30" s="78" t="n">
        <f aca="false">SUMIFS('Données sites'!$G$2:$G$500,'Données sites'!$D$2:$D$500,$A$5,'Données sites'!$E$2:$E$500,$B30,'Données sites'!$F$2:$F$500,$C30)</f>
        <v>43.2</v>
      </c>
      <c r="F30" s="78" t="n">
        <f aca="false">IFERROR(E30/D30,0)</f>
        <v>21.6</v>
      </c>
    </row>
    <row r="31" customFormat="false" ht="14.25" hidden="false" customHeight="false" outlineLevel="0" collapsed="false">
      <c r="A31" s="115"/>
      <c r="B31" s="66" t="s">
        <v>629</v>
      </c>
      <c r="C31" s="66" t="s">
        <v>769</v>
      </c>
      <c r="D31" s="89" t="n">
        <f aca="false">COUNTIFS('Données sites'!$D$2:$D$500,$A$5,'Données sites'!$E$2:$E$500,$B31,'Données sites'!$F$2:$F$500,$C31)</f>
        <v>1</v>
      </c>
      <c r="E31" s="90" t="n">
        <f aca="false">SUMIFS('Données sites'!$G$2:$G$500,'Données sites'!$D$2:$D$500,$A$5,'Données sites'!$E$2:$E$500,$B31,'Données sites'!$F$2:$F$500,$C31)</f>
        <v>30</v>
      </c>
      <c r="F31" s="90" t="n">
        <f aca="false">IFERROR(E31/D31,0)</f>
        <v>30</v>
      </c>
    </row>
    <row r="32" customFormat="false" ht="14.25" hidden="false" customHeight="false" outlineLevel="0" collapsed="false">
      <c r="A32" s="114"/>
      <c r="B32" s="75" t="s">
        <v>629</v>
      </c>
      <c r="C32" s="75" t="s">
        <v>770</v>
      </c>
      <c r="D32" s="77" t="n">
        <f aca="false">COUNTIFS('Données sites'!$D$2:$D$500,$A$5,'Données sites'!$E$2:$E$500,$B32,'Données sites'!$F$2:$F$500,$C32)</f>
        <v>2</v>
      </c>
      <c r="E32" s="78" t="n">
        <f aca="false">SUMIFS('Données sites'!$G$2:$G$500,'Données sites'!$D$2:$D$500,$A$5,'Données sites'!$E$2:$E$500,$B32,'Données sites'!$F$2:$F$500,$C32)</f>
        <v>43.2</v>
      </c>
      <c r="F32" s="78" t="n">
        <f aca="false">IFERROR(E32/D32,0)</f>
        <v>21.6</v>
      </c>
    </row>
    <row r="33" customFormat="false" ht="14.25" hidden="false" customHeight="false" outlineLevel="0" collapsed="false">
      <c r="A33" s="115"/>
      <c r="B33" s="66" t="s">
        <v>629</v>
      </c>
      <c r="C33" s="66" t="s">
        <v>771</v>
      </c>
      <c r="D33" s="89" t="n">
        <f aca="false">COUNTIFS('Données sites'!$D$2:$D$500,$A$5,'Données sites'!$E$2:$E$500,$B33,'Données sites'!$F$2:$F$500,$C33)</f>
        <v>4</v>
      </c>
      <c r="E33" s="90" t="n">
        <f aca="false">SUMIFS('Données sites'!$G$2:$G$500,'Données sites'!$D$2:$D$500,$A$5,'Données sites'!$E$2:$E$500,$B33,'Données sites'!$F$2:$F$500,$C33)</f>
        <v>114</v>
      </c>
      <c r="F33" s="90" t="n">
        <f aca="false">IFERROR(E33/D33,0)</f>
        <v>28.5</v>
      </c>
    </row>
    <row r="34" customFormat="false" ht="14.25" hidden="false" customHeight="false" outlineLevel="0" collapsed="false">
      <c r="A34" s="114"/>
      <c r="B34" s="75" t="s">
        <v>709</v>
      </c>
      <c r="C34" s="75" t="s">
        <v>710</v>
      </c>
      <c r="D34" s="77" t="n">
        <f aca="false">COUNTIFS('Données sites'!$D$2:$D$500,$A$5,'Données sites'!$E$2:$E$500,$B34,'Données sites'!$F$2:$F$500,$C34)</f>
        <v>1</v>
      </c>
      <c r="E34" s="78" t="n">
        <f aca="false">SUMIFS('Données sites'!$G$2:$G$500,'Données sites'!$D$2:$D$500,$A$5,'Données sites'!$E$2:$E$500,$B34,'Données sites'!$F$2:$F$500,$C34)</f>
        <v>80</v>
      </c>
      <c r="F34" s="78" t="n">
        <f aca="false">IFERROR(E34/D34,0)</f>
        <v>80</v>
      </c>
    </row>
    <row r="35" customFormat="false" ht="14.25" hidden="false" customHeight="false" outlineLevel="0" collapsed="false">
      <c r="A35" s="115"/>
      <c r="B35" s="66" t="s">
        <v>709</v>
      </c>
      <c r="C35" s="66" t="s">
        <v>712</v>
      </c>
      <c r="D35" s="89" t="n">
        <f aca="false">COUNTIFS('Données sites'!$D$2:$D$500,$A$5,'Données sites'!$E$2:$E$500,$B35,'Données sites'!$F$2:$F$500,$C35)</f>
        <v>2</v>
      </c>
      <c r="E35" s="90" t="n">
        <f aca="false">SUMIFS('Données sites'!$G$2:$G$500,'Données sites'!$D$2:$D$500,$A$5,'Données sites'!$E$2:$E$500,$B35,'Données sites'!$F$2:$F$500,$C35)</f>
        <v>190.4</v>
      </c>
      <c r="F35" s="90" t="n">
        <f aca="false">IFERROR(E35/D35,0)</f>
        <v>95.2</v>
      </c>
    </row>
    <row r="36" customFormat="false" ht="14.25" hidden="false" customHeight="false" outlineLevel="0" collapsed="false">
      <c r="A36" s="114"/>
      <c r="B36" s="75" t="s">
        <v>709</v>
      </c>
      <c r="C36" s="75" t="s">
        <v>713</v>
      </c>
      <c r="D36" s="77" t="n">
        <f aca="false">COUNTIFS('Données sites'!$D$2:$D$500,$A$5,'Données sites'!$E$2:$E$500,$B36,'Données sites'!$F$2:$F$500,$C36)</f>
        <v>2</v>
      </c>
      <c r="E36" s="78" t="n">
        <f aca="false">SUMIFS('Données sites'!$G$2:$G$500,'Données sites'!$D$2:$D$500,$A$5,'Données sites'!$E$2:$E$500,$B36,'Données sites'!$F$2:$F$500,$C36)</f>
        <v>112.4</v>
      </c>
      <c r="F36" s="78" t="n">
        <f aca="false">IFERROR(E36/D36,0)</f>
        <v>56.2</v>
      </c>
    </row>
    <row r="37" customFormat="false" ht="14.25" hidden="false" customHeight="false" outlineLevel="0" collapsed="false">
      <c r="A37" s="115"/>
      <c r="B37" s="66" t="s">
        <v>709</v>
      </c>
      <c r="C37" s="66" t="s">
        <v>772</v>
      </c>
      <c r="D37" s="89" t="n">
        <f aca="false">COUNTIFS('Données sites'!$D$2:$D$500,$A$5,'Données sites'!$E$2:$E$500,$B37,'Données sites'!$F$2:$F$500,$C37)</f>
        <v>1</v>
      </c>
      <c r="E37" s="90" t="n">
        <f aca="false">SUMIFS('Données sites'!$G$2:$G$500,'Données sites'!$D$2:$D$500,$A$5,'Données sites'!$E$2:$E$500,$B37,'Données sites'!$F$2:$F$500,$C37)</f>
        <v>50</v>
      </c>
      <c r="F37" s="90" t="n">
        <f aca="false">IFERROR(E37/D37,0)</f>
        <v>50</v>
      </c>
    </row>
    <row r="38" customFormat="false" ht="14.25" hidden="false" customHeight="false" outlineLevel="0" collapsed="false">
      <c r="A38" s="114"/>
      <c r="B38" s="75" t="s">
        <v>709</v>
      </c>
      <c r="C38" s="75" t="s">
        <v>773</v>
      </c>
      <c r="D38" s="77" t="n">
        <f aca="false">COUNTIFS('Données sites'!$D$2:$D$500,$A$5,'Données sites'!$E$2:$E$500,$B38,'Données sites'!$F$2:$F$500,$C38)</f>
        <v>3</v>
      </c>
      <c r="E38" s="78" t="n">
        <f aca="false">SUMIFS('Données sites'!$G$2:$G$500,'Données sites'!$D$2:$D$500,$A$5,'Données sites'!$E$2:$E$500,$B38,'Données sites'!$F$2:$F$500,$C38)</f>
        <v>162.4</v>
      </c>
      <c r="F38" s="78" t="n">
        <f aca="false">IFERROR(E38/D38,0)</f>
        <v>54.1333333333333</v>
      </c>
    </row>
    <row r="39" customFormat="false" ht="14.25" hidden="false" customHeight="false" outlineLevel="0" collapsed="false">
      <c r="A39" s="115"/>
      <c r="B39" s="66" t="s">
        <v>709</v>
      </c>
      <c r="C39" s="66" t="s">
        <v>774</v>
      </c>
      <c r="D39" s="89" t="n">
        <f aca="false">COUNTIFS('Données sites'!$D$2:$D$500,$A$5,'Données sites'!$E$2:$E$500,$B39,'Données sites'!$F$2:$F$500,$C39)</f>
        <v>3</v>
      </c>
      <c r="E39" s="90" t="n">
        <f aca="false">SUMIFS('Données sites'!$G$2:$G$500,'Données sites'!$D$2:$D$500,$A$5,'Données sites'!$E$2:$E$500,$B39,'Données sites'!$F$2:$F$500,$C39)</f>
        <v>162.4</v>
      </c>
      <c r="F39" s="90" t="n">
        <f aca="false">IFERROR(E39/D39,0)</f>
        <v>54.1333333333333</v>
      </c>
    </row>
    <row r="40" customFormat="false" ht="14.25" hidden="false" customHeight="false" outlineLevel="0" collapsed="false">
      <c r="A40" s="114"/>
      <c r="B40" s="75" t="s">
        <v>661</v>
      </c>
      <c r="C40" s="75" t="s">
        <v>775</v>
      </c>
      <c r="D40" s="77" t="n">
        <f aca="false">COUNTIFS('Données sites'!$D$2:$D$500,$A$5,'Données sites'!$E$2:$E$500,$B40,'Données sites'!$F$2:$F$500,$C40)</f>
        <v>2</v>
      </c>
      <c r="E40" s="78" t="n">
        <f aca="false">SUMIFS('Données sites'!$G$2:$G$500,'Données sites'!$D$2:$D$500,$A$5,'Données sites'!$E$2:$E$500,$B40,'Données sites'!$F$2:$F$500,$C40)</f>
        <v>263.6</v>
      </c>
      <c r="F40" s="78" t="n">
        <f aca="false">IFERROR(E40/D40,0)</f>
        <v>131.8</v>
      </c>
    </row>
    <row r="41" customFormat="false" ht="14.25" hidden="false" customHeight="false" outlineLevel="0" collapsed="false">
      <c r="A41" s="115"/>
      <c r="B41" s="66" t="s">
        <v>661</v>
      </c>
      <c r="C41" s="66" t="s">
        <v>776</v>
      </c>
      <c r="D41" s="89" t="n">
        <f aca="false">COUNTIFS('Données sites'!$D$2:$D$500,$A$5,'Données sites'!$E$2:$E$500,$B41,'Données sites'!$F$2:$F$500,$C41)</f>
        <v>1</v>
      </c>
      <c r="E41" s="90" t="n">
        <f aca="false">SUMIFS('Données sites'!$G$2:$G$500,'Données sites'!$D$2:$D$500,$A$5,'Données sites'!$E$2:$E$500,$B41,'Données sites'!$F$2:$F$500,$C41)</f>
        <v>81</v>
      </c>
      <c r="F41" s="90" t="n">
        <f aca="false">IFERROR(E41/D41,0)</f>
        <v>81</v>
      </c>
    </row>
    <row r="42" customFormat="false" ht="14.25" hidden="false" customHeight="false" outlineLevel="0" collapsed="false">
      <c r="A42" s="114"/>
      <c r="B42" s="75" t="s">
        <v>661</v>
      </c>
      <c r="C42" s="75" t="s">
        <v>777</v>
      </c>
      <c r="D42" s="77" t="n">
        <f aca="false">COUNTIFS('Données sites'!$D$2:$D$500,$A$5,'Données sites'!$E$2:$E$500,$B42,'Données sites'!$F$2:$F$500,$C42)</f>
        <v>2</v>
      </c>
      <c r="E42" s="78" t="n">
        <f aca="false">SUMIFS('Données sites'!$G$2:$G$500,'Données sites'!$D$2:$D$500,$A$5,'Données sites'!$E$2:$E$500,$B42,'Données sites'!$F$2:$F$500,$C42)</f>
        <v>220.4</v>
      </c>
      <c r="F42" s="78" t="n">
        <f aca="false">IFERROR(E42/D42,0)</f>
        <v>110.2</v>
      </c>
    </row>
    <row r="43" customFormat="false" ht="14.25" hidden="false" customHeight="false" outlineLevel="0" collapsed="false">
      <c r="A43" s="115"/>
      <c r="B43" s="66" t="s">
        <v>661</v>
      </c>
      <c r="C43" s="66" t="s">
        <v>778</v>
      </c>
      <c r="D43" s="89" t="n">
        <f aca="false">COUNTIFS('Données sites'!$D$2:$D$500,$A$5,'Données sites'!$E$2:$E$500,$B43,'Données sites'!$F$2:$F$500,$C43)</f>
        <v>4</v>
      </c>
      <c r="E43" s="90" t="n">
        <f aca="false">SUMIFS('Données sites'!$G$2:$G$500,'Données sites'!$D$2:$D$500,$A$5,'Données sites'!$E$2:$E$500,$B43,'Données sites'!$F$2:$F$500,$C43)</f>
        <v>138</v>
      </c>
      <c r="F43" s="90" t="n">
        <f aca="false">IFERROR(E43/D43,0)</f>
        <v>34.5</v>
      </c>
    </row>
    <row r="44" customFormat="false" ht="14.25" hidden="false" customHeight="false" outlineLevel="0" collapsed="false">
      <c r="A44" s="114"/>
      <c r="B44" s="75" t="s">
        <v>661</v>
      </c>
      <c r="C44" s="75" t="s">
        <v>779</v>
      </c>
      <c r="D44" s="77" t="n">
        <f aca="false">COUNTIFS('Données sites'!$D$2:$D$500,$A$5,'Données sites'!$E$2:$E$500,$B44,'Données sites'!$F$2:$F$500,$C44)</f>
        <v>4</v>
      </c>
      <c r="E44" s="78" t="n">
        <f aca="false">SUMIFS('Données sites'!$G$2:$G$500,'Données sites'!$D$2:$D$500,$A$5,'Données sites'!$E$2:$E$500,$B44,'Données sites'!$F$2:$F$500,$C44)</f>
        <v>138</v>
      </c>
      <c r="F44" s="78" t="n">
        <f aca="false">IFERROR(E44/D44,0)</f>
        <v>34.5</v>
      </c>
    </row>
    <row r="45" customFormat="false" ht="14.25" hidden="false" customHeight="false" outlineLevel="0" collapsed="false">
      <c r="A45" s="115"/>
      <c r="B45" s="66" t="s">
        <v>345</v>
      </c>
      <c r="C45" s="66" t="s">
        <v>780</v>
      </c>
      <c r="D45" s="89" t="n">
        <f aca="false">COUNTIFS('Données sites'!$D$2:$D$500,$A$5,'Données sites'!$E$2:$E$500,$B45,'Données sites'!$F$2:$F$500,$C45)</f>
        <v>3</v>
      </c>
      <c r="E45" s="90" t="n">
        <f aca="false">SUMIFS('Données sites'!$G$2:$G$500,'Données sites'!$D$2:$D$500,$A$5,'Données sites'!$E$2:$E$500,$B45,'Données sites'!$F$2:$F$500,$C45)</f>
        <v>151.2</v>
      </c>
      <c r="F45" s="90" t="n">
        <f aca="false">IFERROR(E45/D45,0)</f>
        <v>50.4</v>
      </c>
    </row>
    <row r="46" customFormat="false" ht="14.25" hidden="false" customHeight="false" outlineLevel="0" collapsed="false">
      <c r="A46" s="114"/>
      <c r="B46" s="75" t="s">
        <v>345</v>
      </c>
      <c r="C46" s="75" t="s">
        <v>781</v>
      </c>
      <c r="D46" s="77" t="n">
        <f aca="false">COUNTIFS('Données sites'!$D$2:$D$500,$A$5,'Données sites'!$E$2:$E$500,$B46,'Données sites'!$F$2:$F$500,$C46)</f>
        <v>1</v>
      </c>
      <c r="E46" s="78" t="n">
        <f aca="false">SUMIFS('Données sites'!$G$2:$G$500,'Données sites'!$D$2:$D$500,$A$5,'Données sites'!$E$2:$E$500,$B46,'Données sites'!$F$2:$F$500,$C46)</f>
        <v>21.6</v>
      </c>
      <c r="F46" s="78" t="n">
        <f aca="false">IFERROR(E46/D46,0)</f>
        <v>21.6</v>
      </c>
    </row>
    <row r="47" customFormat="false" ht="14.25" hidden="false" customHeight="false" outlineLevel="0" collapsed="false">
      <c r="A47" s="115"/>
      <c r="B47" s="66" t="s">
        <v>345</v>
      </c>
      <c r="C47" s="66" t="s">
        <v>782</v>
      </c>
      <c r="D47" s="89" t="n">
        <f aca="false">COUNTIFS('Données sites'!$D$2:$D$500,$A$5,'Données sites'!$E$2:$E$500,$B47,'Données sites'!$F$2:$F$500,$C47)</f>
        <v>1</v>
      </c>
      <c r="E47" s="90" t="n">
        <f aca="false">SUMIFS('Données sites'!$G$2:$G$500,'Données sites'!$D$2:$D$500,$A$5,'Données sites'!$E$2:$E$500,$B47,'Données sites'!$F$2:$F$500,$C47)</f>
        <v>32.4</v>
      </c>
      <c r="F47" s="90" t="n">
        <f aca="false">IFERROR(E47/D47,0)</f>
        <v>32.4</v>
      </c>
    </row>
    <row r="48" customFormat="false" ht="14.25" hidden="false" customHeight="false" outlineLevel="0" collapsed="false">
      <c r="A48" s="114"/>
      <c r="B48" s="75" t="s">
        <v>345</v>
      </c>
      <c r="C48" s="75" t="s">
        <v>783</v>
      </c>
      <c r="D48" s="77" t="n">
        <f aca="false">COUNTIFS('Données sites'!$D$2:$D$500,$A$5,'Données sites'!$E$2:$E$500,$B48,'Données sites'!$F$2:$F$500,$C48)</f>
        <v>1</v>
      </c>
      <c r="E48" s="78" t="n">
        <f aca="false">SUMIFS('Données sites'!$G$2:$G$500,'Données sites'!$D$2:$D$500,$A$5,'Données sites'!$E$2:$E$500,$B48,'Données sites'!$F$2:$F$500,$C48)</f>
        <v>32.4</v>
      </c>
      <c r="F48" s="78" t="n">
        <f aca="false">IFERROR(E48/D48,0)</f>
        <v>32.4</v>
      </c>
    </row>
    <row r="49" customFormat="false" ht="14.25" hidden="false" customHeight="false" outlineLevel="0" collapsed="false">
      <c r="A49" s="115"/>
      <c r="B49" s="66" t="s">
        <v>287</v>
      </c>
      <c r="C49" s="66" t="s">
        <v>784</v>
      </c>
      <c r="D49" s="89" t="n">
        <f aca="false">COUNTIFS('Données sites'!$D$2:$D$500,$A$5,'Données sites'!$E$2:$E$500,$B49,'Données sites'!$F$2:$F$500,$C49)</f>
        <v>1</v>
      </c>
      <c r="E49" s="90" t="n">
        <f aca="false">SUMIFS('Données sites'!$G$2:$G$500,'Données sites'!$D$2:$D$500,$A$5,'Données sites'!$E$2:$E$500,$B49,'Données sites'!$F$2:$F$500,$C49)</f>
        <v>50</v>
      </c>
      <c r="F49" s="90" t="n">
        <f aca="false">IFERROR(E49/D49,0)</f>
        <v>50</v>
      </c>
    </row>
    <row r="50" customFormat="false" ht="14.25" hidden="false" customHeight="false" outlineLevel="0" collapsed="false">
      <c r="A50" s="114"/>
      <c r="B50" s="75" t="s">
        <v>287</v>
      </c>
      <c r="C50" s="75" t="s">
        <v>785</v>
      </c>
      <c r="D50" s="77" t="n">
        <f aca="false">COUNTIFS('Données sites'!$D$2:$D$500,$A$5,'Données sites'!$E$2:$E$500,$B50,'Données sites'!$F$2:$F$500,$C50)</f>
        <v>1</v>
      </c>
      <c r="E50" s="78" t="n">
        <f aca="false">SUMIFS('Données sites'!$G$2:$G$500,'Données sites'!$D$2:$D$500,$A$5,'Données sites'!$E$2:$E$500,$B50,'Données sites'!$F$2:$F$500,$C50)</f>
        <v>32.4</v>
      </c>
      <c r="F50" s="78" t="n">
        <f aca="false">IFERROR(E50/D50,0)</f>
        <v>32.4</v>
      </c>
    </row>
    <row r="51" customFormat="false" ht="14.25" hidden="false" customHeight="false" outlineLevel="0" collapsed="false">
      <c r="A51" s="115"/>
      <c r="B51" s="66" t="s">
        <v>287</v>
      </c>
      <c r="C51" s="66" t="s">
        <v>786</v>
      </c>
      <c r="D51" s="89" t="n">
        <f aca="false">COUNTIFS('Données sites'!$D$2:$D$500,$A$5,'Données sites'!$E$2:$E$500,$B51,'Données sites'!$F$2:$F$500,$C51)</f>
        <v>1</v>
      </c>
      <c r="E51" s="90" t="n">
        <f aca="false">SUMIFS('Données sites'!$G$2:$G$500,'Données sites'!$D$2:$D$500,$A$5,'Données sites'!$E$2:$E$500,$B51,'Données sites'!$F$2:$F$500,$C51)</f>
        <v>97.2</v>
      </c>
      <c r="F51" s="90" t="n">
        <f aca="false">IFERROR(E51/D51,0)</f>
        <v>97.2</v>
      </c>
    </row>
    <row r="52" customFormat="false" ht="14.25" hidden="false" customHeight="false" outlineLevel="0" collapsed="false">
      <c r="A52" s="109" t="s">
        <v>352</v>
      </c>
      <c r="B52" s="110"/>
      <c r="C52" s="110"/>
      <c r="D52" s="111" t="n">
        <f aca="false">COUNTIFS('Données sites'!$D$2:$D$500,$A52)</f>
        <v>61</v>
      </c>
      <c r="E52" s="112" t="n">
        <f aca="false">SUMIFS('Données sites'!$G$2:$G$500,'Données sites'!$D$2:$D$500,$A52)</f>
        <v>2960.6</v>
      </c>
      <c r="F52" s="112" t="n">
        <f aca="false">IFERROR(E52/D52,0)</f>
        <v>48.5344262295082</v>
      </c>
    </row>
    <row r="53" customFormat="false" ht="14.25" hidden="false" customHeight="false" outlineLevel="0" collapsed="false">
      <c r="A53" s="115"/>
      <c r="B53" s="66" t="s">
        <v>353</v>
      </c>
      <c r="C53" s="66" t="s">
        <v>787</v>
      </c>
      <c r="D53" s="89" t="n">
        <f aca="false">COUNTIFS('Données sites'!$D$2:$D$500,$A$52,'Données sites'!$E$2:$E$500,$B53,'Données sites'!$F$2:$F$500,$C53)</f>
        <v>3</v>
      </c>
      <c r="E53" s="90" t="n">
        <f aca="false">SUMIFS('Données sites'!$G$2:$G$500,'Données sites'!$D$2:$D$500,$A$52,'Données sites'!$E$2:$E$500,$B53,'Données sites'!$F$2:$F$500,$C53)</f>
        <v>156.6</v>
      </c>
      <c r="F53" s="90" t="n">
        <f aca="false">IFERROR(E53/D53,0)</f>
        <v>52.2</v>
      </c>
    </row>
    <row r="54" customFormat="false" ht="14.25" hidden="false" customHeight="false" outlineLevel="0" collapsed="false">
      <c r="A54" s="114"/>
      <c r="B54" s="75" t="s">
        <v>353</v>
      </c>
      <c r="C54" s="75" t="s">
        <v>788</v>
      </c>
      <c r="D54" s="77" t="n">
        <f aca="false">COUNTIFS('Données sites'!$D$2:$D$500,$A$52,'Données sites'!$E$2:$E$500,$B54,'Données sites'!$F$2:$F$500,$C54)</f>
        <v>2</v>
      </c>
      <c r="E54" s="78" t="n">
        <f aca="false">SUMIFS('Données sites'!$G$2:$G$500,'Données sites'!$D$2:$D$500,$A$52,'Données sites'!$E$2:$E$500,$B54,'Données sites'!$F$2:$F$500,$C54)</f>
        <v>86.4</v>
      </c>
      <c r="F54" s="78" t="n">
        <f aca="false">IFERROR(E54/D54,0)</f>
        <v>43.2</v>
      </c>
    </row>
    <row r="55" customFormat="false" ht="14.25" hidden="false" customHeight="false" outlineLevel="0" collapsed="false">
      <c r="A55" s="115"/>
      <c r="B55" s="66" t="s">
        <v>353</v>
      </c>
      <c r="C55" s="66" t="s">
        <v>789</v>
      </c>
      <c r="D55" s="89" t="n">
        <f aca="false">COUNTIFS('Données sites'!$D$2:$D$500,$A$52,'Données sites'!$E$2:$E$500,$B55,'Données sites'!$F$2:$F$500,$C55)</f>
        <v>1</v>
      </c>
      <c r="E55" s="90" t="n">
        <f aca="false">SUMIFS('Données sites'!$G$2:$G$500,'Données sites'!$D$2:$D$500,$A$52,'Données sites'!$E$2:$E$500,$B55,'Données sites'!$F$2:$F$500,$C55)</f>
        <v>80</v>
      </c>
      <c r="F55" s="90" t="n">
        <f aca="false">IFERROR(E55/D55,0)</f>
        <v>80</v>
      </c>
    </row>
    <row r="56" customFormat="false" ht="14.25" hidden="false" customHeight="false" outlineLevel="0" collapsed="false">
      <c r="A56" s="114"/>
      <c r="B56" s="75" t="s">
        <v>353</v>
      </c>
      <c r="C56" s="75" t="s">
        <v>361</v>
      </c>
      <c r="D56" s="77" t="n">
        <f aca="false">COUNTIFS('Données sites'!$D$2:$D$500,$A$52,'Données sites'!$E$2:$E$500,$B56,'Données sites'!$F$2:$F$500,$C56)</f>
        <v>1</v>
      </c>
      <c r="E56" s="78" t="n">
        <f aca="false">SUMIFS('Données sites'!$G$2:$G$500,'Données sites'!$D$2:$D$500,$A$52,'Données sites'!$E$2:$E$500,$B56,'Données sites'!$F$2:$F$500,$C56)</f>
        <v>80</v>
      </c>
      <c r="F56" s="78" t="n">
        <f aca="false">IFERROR(E56/D56,0)</f>
        <v>80</v>
      </c>
    </row>
    <row r="57" customFormat="false" ht="14.25" hidden="false" customHeight="false" outlineLevel="0" collapsed="false">
      <c r="A57" s="115"/>
      <c r="B57" s="66" t="s">
        <v>353</v>
      </c>
      <c r="C57" s="66" t="s">
        <v>790</v>
      </c>
      <c r="D57" s="89" t="n">
        <f aca="false">COUNTIFS('Données sites'!$D$2:$D$500,$A$52,'Données sites'!$E$2:$E$500,$B57,'Données sites'!$F$2:$F$500,$C57)</f>
        <v>2</v>
      </c>
      <c r="E57" s="90" t="n">
        <f aca="false">SUMIFS('Données sites'!$G$2:$G$500,'Données sites'!$D$2:$D$500,$A$52,'Données sites'!$E$2:$E$500,$B57,'Données sites'!$F$2:$F$500,$C57)</f>
        <v>62.4</v>
      </c>
      <c r="F57" s="90" t="n">
        <f aca="false">IFERROR(E57/D57,0)</f>
        <v>31.2</v>
      </c>
    </row>
    <row r="58" customFormat="false" ht="14.25" hidden="false" customHeight="false" outlineLevel="0" collapsed="false">
      <c r="A58" s="114"/>
      <c r="B58" s="75" t="s">
        <v>353</v>
      </c>
      <c r="C58" s="75" t="s">
        <v>366</v>
      </c>
      <c r="D58" s="77" t="n">
        <f aca="false">COUNTIFS('Données sites'!$D$2:$D$500,$A$52,'Données sites'!$E$2:$E$500,$B58,'Données sites'!$F$2:$F$500,$C58)</f>
        <v>6</v>
      </c>
      <c r="E58" s="78" t="n">
        <f aca="false">SUMIFS('Données sites'!$G$2:$G$500,'Données sites'!$D$2:$D$500,$A$52,'Données sites'!$E$2:$E$500,$B58,'Données sites'!$F$2:$F$500,$C58)</f>
        <v>268</v>
      </c>
      <c r="F58" s="78" t="n">
        <f aca="false">IFERROR(E58/D58,0)</f>
        <v>44.6666666666667</v>
      </c>
    </row>
    <row r="59" customFormat="false" ht="14.25" hidden="false" customHeight="false" outlineLevel="0" collapsed="false">
      <c r="A59" s="115"/>
      <c r="B59" s="66" t="s">
        <v>353</v>
      </c>
      <c r="C59" s="66" t="s">
        <v>372</v>
      </c>
      <c r="D59" s="89" t="n">
        <f aca="false">COUNTIFS('Données sites'!$D$2:$D$500,$A$52,'Données sites'!$E$2:$E$500,$B59,'Données sites'!$F$2:$F$500,$C59)</f>
        <v>4</v>
      </c>
      <c r="E59" s="90" t="n">
        <f aca="false">SUMIFS('Données sites'!$G$2:$G$500,'Données sites'!$D$2:$D$500,$A$52,'Données sites'!$E$2:$E$500,$B59,'Données sites'!$F$2:$F$500,$C59)</f>
        <v>186.4</v>
      </c>
      <c r="F59" s="90" t="n">
        <f aca="false">IFERROR(E59/D59,0)</f>
        <v>46.6</v>
      </c>
    </row>
    <row r="60" customFormat="false" ht="14.25" hidden="false" customHeight="false" outlineLevel="0" collapsed="false">
      <c r="A60" s="114"/>
      <c r="B60" s="75" t="s">
        <v>353</v>
      </c>
      <c r="C60" s="75" t="s">
        <v>791</v>
      </c>
      <c r="D60" s="77" t="n">
        <f aca="false">COUNTIFS('Données sites'!$D$2:$D$500,$A$52,'Données sites'!$E$2:$E$500,$B60,'Données sites'!$F$2:$F$500,$C60)</f>
        <v>1</v>
      </c>
      <c r="E60" s="78" t="n">
        <f aca="false">SUMIFS('Données sites'!$G$2:$G$500,'Données sites'!$D$2:$D$500,$A$52,'Données sites'!$E$2:$E$500,$B60,'Données sites'!$F$2:$F$500,$C60)</f>
        <v>50</v>
      </c>
      <c r="F60" s="78" t="n">
        <f aca="false">IFERROR(E60/D60,0)</f>
        <v>50</v>
      </c>
    </row>
    <row r="61" customFormat="false" ht="14.25" hidden="false" customHeight="false" outlineLevel="0" collapsed="false">
      <c r="A61" s="115"/>
      <c r="B61" s="66" t="s">
        <v>353</v>
      </c>
      <c r="C61" s="66" t="s">
        <v>792</v>
      </c>
      <c r="D61" s="89" t="n">
        <f aca="false">COUNTIFS('Données sites'!$D$2:$D$500,$A$52,'Données sites'!$E$2:$E$500,$B61,'Données sites'!$F$2:$F$500,$C61)</f>
        <v>2</v>
      </c>
      <c r="E61" s="90" t="n">
        <f aca="false">SUMIFS('Données sites'!$G$2:$G$500,'Données sites'!$D$2:$D$500,$A$52,'Données sites'!$E$2:$E$500,$B61,'Données sites'!$F$2:$F$500,$C61)</f>
        <v>80</v>
      </c>
      <c r="F61" s="90" t="n">
        <f aca="false">IFERROR(E61/D61,0)</f>
        <v>40</v>
      </c>
    </row>
    <row r="62" customFormat="false" ht="14.25" hidden="false" customHeight="false" outlineLevel="0" collapsed="false">
      <c r="A62" s="114"/>
      <c r="B62" s="75" t="s">
        <v>376</v>
      </c>
      <c r="C62" s="75" t="s">
        <v>793</v>
      </c>
      <c r="D62" s="77" t="n">
        <f aca="false">COUNTIFS('Données sites'!$D$2:$D$500,$A$52,'Données sites'!$E$2:$E$500,$B62,'Données sites'!$F$2:$F$500,$C62)</f>
        <v>1</v>
      </c>
      <c r="E62" s="78" t="n">
        <f aca="false">SUMIFS('Données sites'!$G$2:$G$500,'Données sites'!$D$2:$D$500,$A$52,'Données sites'!$E$2:$E$500,$B62,'Données sites'!$F$2:$F$500,$C62)</f>
        <v>30</v>
      </c>
      <c r="F62" s="78" t="n">
        <f aca="false">IFERROR(E62/D62,0)</f>
        <v>30</v>
      </c>
    </row>
    <row r="63" customFormat="false" ht="14.25" hidden="false" customHeight="false" outlineLevel="0" collapsed="false">
      <c r="A63" s="115"/>
      <c r="B63" s="66" t="s">
        <v>376</v>
      </c>
      <c r="C63" s="66" t="s">
        <v>794</v>
      </c>
      <c r="D63" s="89" t="n">
        <f aca="false">COUNTIFS('Données sites'!$D$2:$D$500,$A$52,'Données sites'!$E$2:$E$500,$B63,'Données sites'!$F$2:$F$500,$C63)</f>
        <v>2</v>
      </c>
      <c r="E63" s="90" t="n">
        <f aca="false">SUMIFS('Données sites'!$G$2:$G$500,'Données sites'!$D$2:$D$500,$A$52,'Données sites'!$E$2:$E$500,$B63,'Données sites'!$F$2:$F$500,$C63)</f>
        <v>160</v>
      </c>
      <c r="F63" s="90" t="n">
        <f aca="false">IFERROR(E63/D63,0)</f>
        <v>80</v>
      </c>
    </row>
    <row r="64" customFormat="false" ht="14.25" hidden="false" customHeight="false" outlineLevel="0" collapsed="false">
      <c r="A64" s="114"/>
      <c r="B64" s="75" t="s">
        <v>376</v>
      </c>
      <c r="C64" s="75" t="s">
        <v>795</v>
      </c>
      <c r="D64" s="77" t="n">
        <f aca="false">COUNTIFS('Données sites'!$D$2:$D$500,$A$52,'Données sites'!$E$2:$E$500,$B64,'Données sites'!$F$2:$F$500,$C64)</f>
        <v>1</v>
      </c>
      <c r="E64" s="78" t="n">
        <f aca="false">SUMIFS('Données sites'!$G$2:$G$500,'Données sites'!$D$2:$D$500,$A$52,'Données sites'!$E$2:$E$500,$B64,'Données sites'!$F$2:$F$500,$C64)</f>
        <v>21.6</v>
      </c>
      <c r="F64" s="78" t="n">
        <f aca="false">IFERROR(E64/D64,0)</f>
        <v>21.6</v>
      </c>
    </row>
    <row r="65" customFormat="false" ht="14.25" hidden="false" customHeight="false" outlineLevel="0" collapsed="false">
      <c r="A65" s="115"/>
      <c r="B65" s="66" t="s">
        <v>376</v>
      </c>
      <c r="C65" s="66" t="s">
        <v>796</v>
      </c>
      <c r="D65" s="89" t="n">
        <f aca="false">COUNTIFS('Données sites'!$D$2:$D$500,$A$52,'Données sites'!$E$2:$E$500,$B65,'Données sites'!$F$2:$F$500,$C65)</f>
        <v>2</v>
      </c>
      <c r="E65" s="90" t="n">
        <f aca="false">SUMIFS('Données sites'!$G$2:$G$500,'Données sites'!$D$2:$D$500,$A$52,'Données sites'!$E$2:$E$500,$B65,'Données sites'!$F$2:$F$500,$C65)</f>
        <v>108</v>
      </c>
      <c r="F65" s="90" t="n">
        <f aca="false">IFERROR(E65/D65,0)</f>
        <v>54</v>
      </c>
    </row>
    <row r="66" customFormat="false" ht="14.25" hidden="false" customHeight="false" outlineLevel="0" collapsed="false">
      <c r="A66" s="114"/>
      <c r="B66" s="75" t="s">
        <v>376</v>
      </c>
      <c r="C66" s="75" t="s">
        <v>797</v>
      </c>
      <c r="D66" s="77" t="n">
        <f aca="false">COUNTIFS('Données sites'!$D$2:$D$500,$A$52,'Données sites'!$E$2:$E$500,$B66,'Données sites'!$F$2:$F$500,$C66)</f>
        <v>1</v>
      </c>
      <c r="E66" s="78" t="n">
        <f aca="false">SUMIFS('Données sites'!$G$2:$G$500,'Données sites'!$D$2:$D$500,$A$52,'Données sites'!$E$2:$E$500,$B66,'Données sites'!$F$2:$F$500,$C66)</f>
        <v>80</v>
      </c>
      <c r="F66" s="78" t="n">
        <f aca="false">IFERROR(E66/D66,0)</f>
        <v>80</v>
      </c>
    </row>
    <row r="67" customFormat="false" ht="14.25" hidden="false" customHeight="false" outlineLevel="0" collapsed="false">
      <c r="A67" s="115"/>
      <c r="B67" s="66" t="s">
        <v>376</v>
      </c>
      <c r="C67" s="66" t="s">
        <v>798</v>
      </c>
      <c r="D67" s="89" t="n">
        <f aca="false">COUNTIFS('Données sites'!$D$2:$D$500,$A$52,'Données sites'!$E$2:$E$500,$B67,'Données sites'!$F$2:$F$500,$C67)</f>
        <v>4</v>
      </c>
      <c r="E67" s="90" t="n">
        <f aca="false">SUMIFS('Données sites'!$G$2:$G$500,'Données sites'!$D$2:$D$500,$A$52,'Données sites'!$E$2:$E$500,$B67,'Données sites'!$F$2:$F$500,$C67)</f>
        <v>160</v>
      </c>
      <c r="F67" s="90" t="n">
        <f aca="false">IFERROR(E67/D67,0)</f>
        <v>40</v>
      </c>
    </row>
    <row r="68" customFormat="false" ht="14.25" hidden="false" customHeight="false" outlineLevel="0" collapsed="false">
      <c r="A68" s="114"/>
      <c r="B68" s="75" t="s">
        <v>376</v>
      </c>
      <c r="C68" s="75" t="s">
        <v>799</v>
      </c>
      <c r="D68" s="77" t="n">
        <f aca="false">COUNTIFS('Données sites'!$D$2:$D$500,$A$52,'Données sites'!$E$2:$E$500,$B68,'Données sites'!$F$2:$F$500,$C68)</f>
        <v>1</v>
      </c>
      <c r="E68" s="78" t="n">
        <f aca="false">SUMIFS('Données sites'!$G$2:$G$500,'Données sites'!$D$2:$D$500,$A$52,'Données sites'!$E$2:$E$500,$B68,'Données sites'!$F$2:$F$500,$C68)</f>
        <v>30</v>
      </c>
      <c r="F68" s="78" t="n">
        <f aca="false">IFERROR(E68/D68,0)</f>
        <v>30</v>
      </c>
    </row>
    <row r="69" customFormat="false" ht="14.25" hidden="false" customHeight="false" outlineLevel="0" collapsed="false">
      <c r="A69" s="115"/>
      <c r="B69" s="66" t="s">
        <v>376</v>
      </c>
      <c r="C69" s="66" t="s">
        <v>800</v>
      </c>
      <c r="D69" s="89" t="n">
        <f aca="false">COUNTIFS('Données sites'!$D$2:$D$500,$A$52,'Données sites'!$E$2:$E$500,$B69,'Données sites'!$F$2:$F$500,$C69)</f>
        <v>1</v>
      </c>
      <c r="E69" s="90" t="n">
        <f aca="false">SUMIFS('Données sites'!$G$2:$G$500,'Données sites'!$D$2:$D$500,$A$52,'Données sites'!$E$2:$E$500,$B69,'Données sites'!$F$2:$F$500,$C69)</f>
        <v>54</v>
      </c>
      <c r="F69" s="90" t="n">
        <f aca="false">IFERROR(E69/D69,0)</f>
        <v>54</v>
      </c>
    </row>
    <row r="70" customFormat="false" ht="14.25" hidden="false" customHeight="false" outlineLevel="0" collapsed="false">
      <c r="A70" s="114"/>
      <c r="B70" s="75" t="s">
        <v>376</v>
      </c>
      <c r="C70" s="75" t="s">
        <v>801</v>
      </c>
      <c r="D70" s="77" t="n">
        <f aca="false">COUNTIFS('Données sites'!$D$2:$D$500,$A$52,'Données sites'!$E$2:$E$500,$B70,'Données sites'!$F$2:$F$500,$C70)</f>
        <v>1</v>
      </c>
      <c r="E70" s="78" t="n">
        <f aca="false">SUMIFS('Données sites'!$G$2:$G$500,'Données sites'!$D$2:$D$500,$A$52,'Données sites'!$E$2:$E$500,$B70,'Données sites'!$F$2:$F$500,$C70)</f>
        <v>30</v>
      </c>
      <c r="F70" s="78" t="n">
        <f aca="false">IFERROR(E70/D70,0)</f>
        <v>30</v>
      </c>
    </row>
    <row r="71" customFormat="false" ht="14.25" hidden="false" customHeight="false" outlineLevel="0" collapsed="false">
      <c r="A71" s="115"/>
      <c r="B71" s="66" t="s">
        <v>376</v>
      </c>
      <c r="C71" s="66" t="s">
        <v>802</v>
      </c>
      <c r="D71" s="89" t="n">
        <f aca="false">COUNTIFS('Données sites'!$D$2:$D$500,$A$52,'Données sites'!$E$2:$E$500,$B71,'Données sites'!$F$2:$F$500,$C71)</f>
        <v>2</v>
      </c>
      <c r="E71" s="90" t="n">
        <f aca="false">SUMIFS('Données sites'!$G$2:$G$500,'Données sites'!$D$2:$D$500,$A$52,'Données sites'!$E$2:$E$500,$B71,'Données sites'!$F$2:$F$500,$C71)</f>
        <v>130</v>
      </c>
      <c r="F71" s="90" t="n">
        <f aca="false">IFERROR(E71/D71,0)</f>
        <v>65</v>
      </c>
    </row>
    <row r="72" customFormat="false" ht="14.25" hidden="false" customHeight="false" outlineLevel="0" collapsed="false">
      <c r="A72" s="114"/>
      <c r="B72" s="75" t="s">
        <v>376</v>
      </c>
      <c r="C72" s="75" t="s">
        <v>317</v>
      </c>
      <c r="D72" s="77" t="n">
        <f aca="false">COUNTIFS('Données sites'!$D$2:$D$500,$A$52,'Données sites'!$E$2:$E$500,$B72,'Données sites'!$F$2:$F$500,$C72)</f>
        <v>2</v>
      </c>
      <c r="E72" s="78" t="n">
        <f aca="false">SUMIFS('Données sites'!$G$2:$G$500,'Données sites'!$D$2:$D$500,$A$52,'Données sites'!$E$2:$E$500,$B72,'Données sites'!$F$2:$F$500,$C72)</f>
        <v>54</v>
      </c>
      <c r="F72" s="78" t="n">
        <f aca="false">IFERROR(E72/D72,0)</f>
        <v>27</v>
      </c>
    </row>
    <row r="73" customFormat="false" ht="14.25" hidden="false" customHeight="false" outlineLevel="0" collapsed="false">
      <c r="A73" s="115"/>
      <c r="B73" s="66" t="s">
        <v>403</v>
      </c>
      <c r="C73" s="66" t="s">
        <v>803</v>
      </c>
      <c r="D73" s="89" t="n">
        <f aca="false">COUNTIFS('Données sites'!$D$2:$D$500,$A$52,'Données sites'!$E$2:$E$500,$B73,'Données sites'!$F$2:$F$500,$C73)</f>
        <v>1</v>
      </c>
      <c r="E73" s="90" t="n">
        <f aca="false">SUMIFS('Données sites'!$G$2:$G$500,'Données sites'!$D$2:$D$500,$A$52,'Données sites'!$E$2:$E$500,$B73,'Données sites'!$F$2:$F$500,$C73)</f>
        <v>32.4</v>
      </c>
      <c r="F73" s="90" t="n">
        <f aca="false">IFERROR(E73/D73,0)</f>
        <v>32.4</v>
      </c>
    </row>
    <row r="74" customFormat="false" ht="14.25" hidden="false" customHeight="false" outlineLevel="0" collapsed="false">
      <c r="A74" s="114"/>
      <c r="B74" s="75" t="s">
        <v>403</v>
      </c>
      <c r="C74" s="75" t="s">
        <v>804</v>
      </c>
      <c r="D74" s="77" t="n">
        <f aca="false">COUNTIFS('Données sites'!$D$2:$D$500,$A$52,'Données sites'!$E$2:$E$500,$B74,'Données sites'!$F$2:$F$500,$C74)</f>
        <v>5</v>
      </c>
      <c r="E74" s="78" t="n">
        <f aca="false">SUMIFS('Données sites'!$G$2:$G$500,'Données sites'!$D$2:$D$500,$A$52,'Données sites'!$E$2:$E$500,$B74,'Données sites'!$F$2:$F$500,$C74)</f>
        <v>232.4</v>
      </c>
      <c r="F74" s="78" t="n">
        <f aca="false">IFERROR(E74/D74,0)</f>
        <v>46.48</v>
      </c>
    </row>
    <row r="75" customFormat="false" ht="14.25" hidden="false" customHeight="false" outlineLevel="0" collapsed="false">
      <c r="A75" s="115"/>
      <c r="B75" s="66" t="s">
        <v>403</v>
      </c>
      <c r="C75" s="66" t="s">
        <v>805</v>
      </c>
      <c r="D75" s="89" t="n">
        <f aca="false">COUNTIFS('Données sites'!$D$2:$D$500,$A$52,'Données sites'!$E$2:$E$500,$B75,'Données sites'!$F$2:$F$500,$C75)</f>
        <v>1</v>
      </c>
      <c r="E75" s="90" t="n">
        <f aca="false">SUMIFS('Données sites'!$G$2:$G$500,'Données sites'!$D$2:$D$500,$A$52,'Données sites'!$E$2:$E$500,$B75,'Données sites'!$F$2:$F$500,$C75)</f>
        <v>32.4</v>
      </c>
      <c r="F75" s="90" t="n">
        <f aca="false">IFERROR(E75/D75,0)</f>
        <v>32.4</v>
      </c>
    </row>
    <row r="76" customFormat="false" ht="14.25" hidden="false" customHeight="false" outlineLevel="0" collapsed="false">
      <c r="A76" s="114"/>
      <c r="B76" s="75" t="s">
        <v>403</v>
      </c>
      <c r="C76" s="75" t="s">
        <v>806</v>
      </c>
      <c r="D76" s="77" t="n">
        <f aca="false">COUNTIFS('Données sites'!$D$2:$D$500,$A$52,'Données sites'!$E$2:$E$500,$B76,'Données sites'!$F$2:$F$500,$C76)</f>
        <v>1</v>
      </c>
      <c r="E76" s="78" t="n">
        <f aca="false">SUMIFS('Données sites'!$G$2:$G$500,'Données sites'!$D$2:$D$500,$A$52,'Données sites'!$E$2:$E$500,$B76,'Données sites'!$F$2:$F$500,$C76)</f>
        <v>32.4</v>
      </c>
      <c r="F76" s="78" t="n">
        <f aca="false">IFERROR(E76/D76,0)</f>
        <v>32.4</v>
      </c>
    </row>
    <row r="77" customFormat="false" ht="14.25" hidden="false" customHeight="false" outlineLevel="0" collapsed="false">
      <c r="A77" s="115"/>
      <c r="B77" s="66" t="s">
        <v>403</v>
      </c>
      <c r="C77" s="66" t="s">
        <v>807</v>
      </c>
      <c r="D77" s="89" t="n">
        <f aca="false">COUNTIFS('Données sites'!$D$2:$D$500,$A$52,'Données sites'!$E$2:$E$500,$B77,'Données sites'!$F$2:$F$500,$C77)</f>
        <v>1</v>
      </c>
      <c r="E77" s="90" t="n">
        <f aca="false">SUMIFS('Données sites'!$G$2:$G$500,'Données sites'!$D$2:$D$500,$A$52,'Données sites'!$E$2:$E$500,$B77,'Données sites'!$F$2:$F$500,$C77)</f>
        <v>21.6</v>
      </c>
      <c r="F77" s="90" t="n">
        <f aca="false">IFERROR(E77/D77,0)</f>
        <v>21.6</v>
      </c>
    </row>
    <row r="78" customFormat="false" ht="14.25" hidden="false" customHeight="false" outlineLevel="0" collapsed="false">
      <c r="A78" s="114"/>
      <c r="B78" s="75" t="s">
        <v>403</v>
      </c>
      <c r="C78" s="75" t="s">
        <v>808</v>
      </c>
      <c r="D78" s="77" t="n">
        <f aca="false">COUNTIFS('Données sites'!$D$2:$D$500,$A$52,'Données sites'!$E$2:$E$500,$B78,'Données sites'!$F$2:$F$500,$C78)</f>
        <v>1</v>
      </c>
      <c r="E78" s="78" t="n">
        <f aca="false">SUMIFS('Données sites'!$G$2:$G$500,'Données sites'!$D$2:$D$500,$A$52,'Données sites'!$E$2:$E$500,$B78,'Données sites'!$F$2:$F$500,$C78)</f>
        <v>54</v>
      </c>
      <c r="F78" s="78" t="n">
        <f aca="false">IFERROR(E78/D78,0)</f>
        <v>54</v>
      </c>
    </row>
    <row r="79" customFormat="false" ht="14.25" hidden="false" customHeight="false" outlineLevel="0" collapsed="false">
      <c r="A79" s="115"/>
      <c r="B79" s="66" t="s">
        <v>395</v>
      </c>
      <c r="C79" s="66" t="s">
        <v>804</v>
      </c>
      <c r="D79" s="89" t="n">
        <f aca="false">COUNTIFS('Données sites'!$D$2:$D$500,$A$52,'Données sites'!$E$2:$E$500,$B79,'Données sites'!$F$2:$F$500,$C79)</f>
        <v>5</v>
      </c>
      <c r="E79" s="90" t="n">
        <f aca="false">SUMIFS('Données sites'!$G$2:$G$500,'Données sites'!$D$2:$D$500,$A$52,'Données sites'!$E$2:$E$500,$B79,'Données sites'!$F$2:$F$500,$C79)</f>
        <v>183.6</v>
      </c>
      <c r="F79" s="90" t="n">
        <f aca="false">IFERROR(E79/D79,0)</f>
        <v>36.72</v>
      </c>
    </row>
    <row r="80" customFormat="false" ht="14.25" hidden="false" customHeight="false" outlineLevel="0" collapsed="false">
      <c r="A80" s="114"/>
      <c r="B80" s="75" t="s">
        <v>395</v>
      </c>
      <c r="C80" s="75" t="s">
        <v>808</v>
      </c>
      <c r="D80" s="77" t="n">
        <f aca="false">COUNTIFS('Données sites'!$D$2:$D$500,$A$52,'Données sites'!$E$2:$E$500,$B80,'Données sites'!$F$2:$F$500,$C80)</f>
        <v>2</v>
      </c>
      <c r="E80" s="78" t="n">
        <f aca="false">SUMIFS('Données sites'!$G$2:$G$500,'Données sites'!$D$2:$D$500,$A$52,'Données sites'!$E$2:$E$500,$B80,'Données sites'!$F$2:$F$500,$C80)</f>
        <v>162</v>
      </c>
      <c r="F80" s="78" t="n">
        <f aca="false">IFERROR(E80/D80,0)</f>
        <v>81</v>
      </c>
    </row>
    <row r="81" customFormat="false" ht="14.25" hidden="false" customHeight="false" outlineLevel="0" collapsed="false">
      <c r="A81" s="115"/>
      <c r="B81" s="66" t="s">
        <v>414</v>
      </c>
      <c r="C81" s="66" t="s">
        <v>809</v>
      </c>
      <c r="D81" s="89" t="n">
        <f aca="false">COUNTIFS('Données sites'!$D$2:$D$500,$A$52,'Données sites'!$E$2:$E$500,$B81,'Données sites'!$F$2:$F$500,$C81)</f>
        <v>2</v>
      </c>
      <c r="E81" s="90" t="n">
        <f aca="false">SUMIFS('Données sites'!$G$2:$G$500,'Données sites'!$D$2:$D$500,$A$52,'Données sites'!$E$2:$E$500,$B81,'Données sites'!$F$2:$F$500,$C81)</f>
        <v>216</v>
      </c>
      <c r="F81" s="90" t="n">
        <f aca="false">IFERROR(E81/D81,0)</f>
        <v>108</v>
      </c>
    </row>
    <row r="82" customFormat="false" ht="14.25" hidden="false" customHeight="false" outlineLevel="0" collapsed="false">
      <c r="A82" s="114"/>
      <c r="B82" s="75" t="s">
        <v>414</v>
      </c>
      <c r="C82" s="75" t="s">
        <v>810</v>
      </c>
      <c r="D82" s="77" t="n">
        <f aca="false">COUNTIFS('Données sites'!$D$2:$D$500,$A$52,'Données sites'!$E$2:$E$500,$B82,'Données sites'!$F$2:$F$500,$C82)</f>
        <v>1</v>
      </c>
      <c r="E82" s="78" t="n">
        <f aca="false">SUMIFS('Données sites'!$G$2:$G$500,'Données sites'!$D$2:$D$500,$A$52,'Données sites'!$E$2:$E$500,$B82,'Données sites'!$F$2:$F$500,$C82)</f>
        <v>32.4</v>
      </c>
      <c r="F82" s="78" t="n">
        <f aca="false">IFERROR(E82/D82,0)</f>
        <v>32.4</v>
      </c>
    </row>
    <row r="83" customFormat="false" ht="14.25" hidden="false" customHeight="false" outlineLevel="0" collapsed="false">
      <c r="A83" s="115"/>
      <c r="B83" s="66" t="s">
        <v>414</v>
      </c>
      <c r="C83" s="66" t="s">
        <v>811</v>
      </c>
      <c r="D83" s="89" t="n">
        <f aca="false">COUNTIFS('Données sites'!$D$2:$D$500,$A$52,'Données sites'!$E$2:$E$500,$B83,'Données sites'!$F$2:$F$500,$C83)</f>
        <v>1</v>
      </c>
      <c r="E83" s="90" t="n">
        <f aca="false">SUMIFS('Données sites'!$G$2:$G$500,'Données sites'!$D$2:$D$500,$A$52,'Données sites'!$E$2:$E$500,$B83,'Données sites'!$F$2:$F$500,$C83)</f>
        <v>54</v>
      </c>
      <c r="F83" s="90" t="n">
        <f aca="false">IFERROR(E83/D83,0)</f>
        <v>54</v>
      </c>
    </row>
    <row r="84" customFormat="false" ht="14.25" hidden="false" customHeight="false" outlineLevel="0" collapsed="false">
      <c r="A84" s="109" t="s">
        <v>35</v>
      </c>
      <c r="B84" s="110"/>
      <c r="C84" s="110"/>
      <c r="D84" s="111" t="n">
        <f aca="false">COUNTIFS('Données sites'!$D$2:$D$500,$A84)</f>
        <v>55</v>
      </c>
      <c r="E84" s="112" t="n">
        <f aca="false">SUMIFS('Données sites'!$G$2:$G$500,'Données sites'!$D$2:$D$500,$A84)</f>
        <v>4312.8</v>
      </c>
      <c r="F84" s="112" t="n">
        <f aca="false">IFERROR(E84/D84,0)</f>
        <v>78.4145454545455</v>
      </c>
    </row>
    <row r="85" customFormat="false" ht="14.25" hidden="false" customHeight="false" outlineLevel="0" collapsed="false">
      <c r="A85" s="115"/>
      <c r="B85" s="66" t="s">
        <v>586</v>
      </c>
      <c r="C85" s="66" t="s">
        <v>812</v>
      </c>
      <c r="D85" s="89" t="n">
        <f aca="false">COUNTIFS('Données sites'!$D$2:$D$500,$A$84,'Données sites'!$E$2:$E$500,$B85,'Données sites'!$F$2:$F$500,$C85)</f>
        <v>1</v>
      </c>
      <c r="E85" s="90" t="n">
        <f aca="false">SUMIFS('Données sites'!$G$2:$G$500,'Données sites'!$D$2:$D$500,$A$84,'Données sites'!$E$2:$E$500,$B85,'Données sites'!$F$2:$F$500,$C85)</f>
        <v>100</v>
      </c>
      <c r="F85" s="90" t="n">
        <f aca="false">IFERROR(E85/D85,0)</f>
        <v>100</v>
      </c>
    </row>
    <row r="86" customFormat="false" ht="14.25" hidden="false" customHeight="false" outlineLevel="0" collapsed="false">
      <c r="A86" s="114"/>
      <c r="B86" s="75" t="s">
        <v>586</v>
      </c>
      <c r="C86" s="75" t="s">
        <v>813</v>
      </c>
      <c r="D86" s="77" t="n">
        <f aca="false">COUNTIFS('Données sites'!$D$2:$D$500,$A$84,'Données sites'!$E$2:$E$500,$B86,'Données sites'!$F$2:$F$500,$C86)</f>
        <v>10</v>
      </c>
      <c r="E86" s="78" t="n">
        <f aca="false">SUMIFS('Données sites'!$G$2:$G$500,'Données sites'!$D$2:$D$500,$A$84,'Données sites'!$E$2:$E$500,$B86,'Données sites'!$F$2:$F$500,$C86)</f>
        <v>750.4</v>
      </c>
      <c r="F86" s="78" t="n">
        <f aca="false">IFERROR(E86/D86,0)</f>
        <v>75.04</v>
      </c>
    </row>
    <row r="87" customFormat="false" ht="14.25" hidden="false" customHeight="false" outlineLevel="0" collapsed="false">
      <c r="A87" s="115"/>
      <c r="B87" s="66" t="s">
        <v>586</v>
      </c>
      <c r="C87" s="66" t="s">
        <v>814</v>
      </c>
      <c r="D87" s="89" t="n">
        <f aca="false">COUNTIFS('Données sites'!$D$2:$D$500,$A$84,'Données sites'!$E$2:$E$500,$B87,'Données sites'!$F$2:$F$500,$C87)</f>
        <v>8</v>
      </c>
      <c r="E87" s="90" t="n">
        <f aca="false">SUMIFS('Données sites'!$G$2:$G$500,'Données sites'!$D$2:$D$500,$A$84,'Données sites'!$E$2:$E$500,$B87,'Données sites'!$F$2:$F$500,$C87)</f>
        <v>567.4</v>
      </c>
      <c r="F87" s="90" t="n">
        <f aca="false">IFERROR(E87/D87,0)</f>
        <v>70.925</v>
      </c>
    </row>
    <row r="88" customFormat="false" ht="14.25" hidden="false" customHeight="false" outlineLevel="0" collapsed="false">
      <c r="A88" s="114"/>
      <c r="B88" s="75" t="s">
        <v>586</v>
      </c>
      <c r="C88" s="75" t="s">
        <v>815</v>
      </c>
      <c r="D88" s="77" t="n">
        <f aca="false">COUNTIFS('Données sites'!$D$2:$D$500,$A$84,'Données sites'!$E$2:$E$500,$B88,'Données sites'!$F$2:$F$500,$C88)</f>
        <v>3</v>
      </c>
      <c r="E88" s="78" t="n">
        <f aca="false">SUMIFS('Données sites'!$G$2:$G$500,'Données sites'!$D$2:$D$500,$A$84,'Données sites'!$E$2:$E$500,$B88,'Données sites'!$F$2:$F$500,$C88)</f>
        <v>301.4</v>
      </c>
      <c r="F88" s="78" t="n">
        <f aca="false">IFERROR(E88/D88,0)</f>
        <v>100.466666666667</v>
      </c>
    </row>
    <row r="89" customFormat="false" ht="14.25" hidden="false" customHeight="false" outlineLevel="0" collapsed="false">
      <c r="A89" s="115"/>
      <c r="B89" s="66" t="s">
        <v>608</v>
      </c>
      <c r="C89" s="66" t="s">
        <v>613</v>
      </c>
      <c r="D89" s="89" t="n">
        <f aca="false">COUNTIFS('Données sites'!$D$2:$D$500,$A$84,'Données sites'!$E$2:$E$500,$B89,'Données sites'!$F$2:$F$500,$C89)</f>
        <v>3</v>
      </c>
      <c r="E89" s="90" t="n">
        <f aca="false">SUMIFS('Données sites'!$G$2:$G$500,'Données sites'!$D$2:$D$500,$A$84,'Données sites'!$E$2:$E$500,$B89,'Données sites'!$F$2:$F$500,$C89)</f>
        <v>262</v>
      </c>
      <c r="F89" s="90" t="n">
        <f aca="false">IFERROR(E89/D89,0)</f>
        <v>87.3333333333333</v>
      </c>
    </row>
    <row r="90" customFormat="false" ht="14.25" hidden="false" customHeight="false" outlineLevel="0" collapsed="false">
      <c r="A90" s="114"/>
      <c r="B90" s="75" t="s">
        <v>608</v>
      </c>
      <c r="C90" s="75" t="s">
        <v>614</v>
      </c>
      <c r="D90" s="77" t="n">
        <f aca="false">COUNTIFS('Données sites'!$D$2:$D$500,$A$84,'Données sites'!$E$2:$E$500,$B90,'Données sites'!$F$2:$F$500,$C90)</f>
        <v>3</v>
      </c>
      <c r="E90" s="78" t="n">
        <f aca="false">SUMIFS('Données sites'!$G$2:$G$500,'Données sites'!$D$2:$D$500,$A$84,'Données sites'!$E$2:$E$500,$B90,'Données sites'!$F$2:$F$500,$C90)</f>
        <v>214</v>
      </c>
      <c r="F90" s="78" t="n">
        <f aca="false">IFERROR(E90/D90,0)</f>
        <v>71.3333333333333</v>
      </c>
    </row>
    <row r="91" customFormat="false" ht="14.25" hidden="false" customHeight="false" outlineLevel="0" collapsed="false">
      <c r="A91" s="115"/>
      <c r="B91" s="66" t="s">
        <v>608</v>
      </c>
      <c r="C91" s="66" t="s">
        <v>816</v>
      </c>
      <c r="D91" s="89" t="n">
        <f aca="false">COUNTIFS('Données sites'!$D$2:$D$500,$A$84,'Données sites'!$E$2:$E$500,$B91,'Données sites'!$F$2:$F$500,$C91)</f>
        <v>4</v>
      </c>
      <c r="E91" s="90" t="n">
        <f aca="false">SUMIFS('Données sites'!$G$2:$G$500,'Données sites'!$D$2:$D$500,$A$84,'Données sites'!$E$2:$E$500,$B91,'Données sites'!$F$2:$F$500,$C91)</f>
        <v>342</v>
      </c>
      <c r="F91" s="90" t="n">
        <f aca="false">IFERROR(E91/D91,0)</f>
        <v>85.5</v>
      </c>
    </row>
    <row r="92" customFormat="false" ht="14.25" hidden="false" customHeight="false" outlineLevel="0" collapsed="false">
      <c r="A92" s="114"/>
      <c r="B92" s="75" t="s">
        <v>608</v>
      </c>
      <c r="C92" s="75" t="s">
        <v>620</v>
      </c>
      <c r="D92" s="77" t="n">
        <f aca="false">COUNTIFS('Données sites'!$D$2:$D$500,$A$84,'Données sites'!$E$2:$E$500,$B92,'Données sites'!$F$2:$F$500,$C92)</f>
        <v>3</v>
      </c>
      <c r="E92" s="78" t="n">
        <f aca="false">SUMIFS('Données sites'!$G$2:$G$500,'Données sites'!$D$2:$D$500,$A$84,'Données sites'!$E$2:$E$500,$B92,'Données sites'!$F$2:$F$500,$C92)</f>
        <v>191</v>
      </c>
      <c r="F92" s="78" t="n">
        <f aca="false">IFERROR(E92/D92,0)</f>
        <v>63.6666666666667</v>
      </c>
    </row>
    <row r="93" customFormat="false" ht="14.25" hidden="false" customHeight="false" outlineLevel="0" collapsed="false">
      <c r="A93" s="115"/>
      <c r="B93" s="66" t="s">
        <v>577</v>
      </c>
      <c r="C93" s="66" t="s">
        <v>817</v>
      </c>
      <c r="D93" s="89" t="n">
        <f aca="false">COUNTIFS('Données sites'!$D$2:$D$500,$A$84,'Données sites'!$E$2:$E$500,$B93,'Données sites'!$F$2:$F$500,$C93)</f>
        <v>1</v>
      </c>
      <c r="E93" s="90" t="n">
        <f aca="false">SUMIFS('Données sites'!$G$2:$G$500,'Données sites'!$D$2:$D$500,$A$84,'Données sites'!$E$2:$E$500,$B93,'Données sites'!$F$2:$F$500,$C93)</f>
        <v>54</v>
      </c>
      <c r="F93" s="90" t="n">
        <f aca="false">IFERROR(E93/D93,0)</f>
        <v>54</v>
      </c>
    </row>
    <row r="94" customFormat="false" ht="14.25" hidden="false" customHeight="false" outlineLevel="0" collapsed="false">
      <c r="A94" s="114"/>
      <c r="B94" s="75" t="s">
        <v>577</v>
      </c>
      <c r="C94" s="75" t="s">
        <v>581</v>
      </c>
      <c r="D94" s="77" t="n">
        <f aca="false">COUNTIFS('Données sites'!$D$2:$D$500,$A$84,'Données sites'!$E$2:$E$500,$B94,'Données sites'!$F$2:$F$500,$C94)</f>
        <v>1</v>
      </c>
      <c r="E94" s="78" t="n">
        <f aca="false">SUMIFS('Données sites'!$G$2:$G$500,'Données sites'!$D$2:$D$500,$A$84,'Données sites'!$E$2:$E$500,$B94,'Données sites'!$F$2:$F$500,$C94)</f>
        <v>183.6</v>
      </c>
      <c r="F94" s="78" t="n">
        <f aca="false">IFERROR(E94/D94,0)</f>
        <v>183.6</v>
      </c>
    </row>
    <row r="95" customFormat="false" ht="14.25" hidden="false" customHeight="false" outlineLevel="0" collapsed="false">
      <c r="A95" s="115"/>
      <c r="B95" s="66" t="s">
        <v>577</v>
      </c>
      <c r="C95" s="66" t="s">
        <v>818</v>
      </c>
      <c r="D95" s="89" t="n">
        <f aca="false">COUNTIFS('Données sites'!$D$2:$D$500,$A$84,'Données sites'!$E$2:$E$500,$B95,'Données sites'!$F$2:$F$500,$C95)</f>
        <v>1</v>
      </c>
      <c r="E95" s="90" t="n">
        <f aca="false">SUMIFS('Données sites'!$G$2:$G$500,'Données sites'!$D$2:$D$500,$A$84,'Données sites'!$E$2:$E$500,$B95,'Données sites'!$F$2:$F$500,$C95)</f>
        <v>80</v>
      </c>
      <c r="F95" s="90" t="n">
        <f aca="false">IFERROR(E95/D95,0)</f>
        <v>80</v>
      </c>
    </row>
    <row r="96" customFormat="false" ht="14.25" hidden="false" customHeight="false" outlineLevel="0" collapsed="false">
      <c r="A96" s="114"/>
      <c r="B96" s="75" t="s">
        <v>577</v>
      </c>
      <c r="C96" s="75" t="s">
        <v>819</v>
      </c>
      <c r="D96" s="77" t="n">
        <f aca="false">COUNTIFS('Données sites'!$D$2:$D$500,$A$84,'Données sites'!$E$2:$E$500,$B96,'Données sites'!$F$2:$F$500,$C96)</f>
        <v>1</v>
      </c>
      <c r="E96" s="78" t="n">
        <f aca="false">SUMIFS('Données sites'!$G$2:$G$500,'Données sites'!$D$2:$D$500,$A$84,'Données sites'!$E$2:$E$500,$B96,'Données sites'!$F$2:$F$500,$C96)</f>
        <v>32.4</v>
      </c>
      <c r="F96" s="78" t="n">
        <f aca="false">IFERROR(E96/D96,0)</f>
        <v>32.4</v>
      </c>
    </row>
    <row r="97" customFormat="false" ht="14.25" hidden="false" customHeight="false" outlineLevel="0" collapsed="false">
      <c r="A97" s="115"/>
      <c r="B97" s="66" t="s">
        <v>577</v>
      </c>
      <c r="C97" s="66" t="s">
        <v>820</v>
      </c>
      <c r="D97" s="89" t="n">
        <f aca="false">COUNTIFS('Données sites'!$D$2:$D$500,$A$84,'Données sites'!$E$2:$E$500,$B97,'Données sites'!$F$2:$F$500,$C97)</f>
        <v>2</v>
      </c>
      <c r="E97" s="90" t="n">
        <f aca="false">SUMIFS('Données sites'!$G$2:$G$500,'Données sites'!$D$2:$D$500,$A$84,'Données sites'!$E$2:$E$500,$B97,'Données sites'!$F$2:$F$500,$C97)</f>
        <v>160</v>
      </c>
      <c r="F97" s="90" t="n">
        <f aca="false">IFERROR(E97/D97,0)</f>
        <v>80</v>
      </c>
    </row>
    <row r="98" customFormat="false" ht="14.25" hidden="false" customHeight="false" outlineLevel="0" collapsed="false">
      <c r="A98" s="114"/>
      <c r="B98" s="75" t="s">
        <v>577</v>
      </c>
      <c r="C98" s="75" t="s">
        <v>821</v>
      </c>
      <c r="D98" s="77" t="n">
        <f aca="false">COUNTIFS('Données sites'!$D$2:$D$500,$A$84,'Données sites'!$E$2:$E$500,$B98,'Données sites'!$F$2:$F$500,$C98)</f>
        <v>1</v>
      </c>
      <c r="E98" s="78" t="n">
        <f aca="false">SUMIFS('Données sites'!$G$2:$G$500,'Données sites'!$D$2:$D$500,$A$84,'Données sites'!$E$2:$E$500,$B98,'Données sites'!$F$2:$F$500,$C98)</f>
        <v>140.4</v>
      </c>
      <c r="F98" s="78" t="n">
        <f aca="false">IFERROR(E98/D98,0)</f>
        <v>140.4</v>
      </c>
    </row>
    <row r="99" customFormat="false" ht="14.25" hidden="false" customHeight="false" outlineLevel="0" collapsed="false">
      <c r="A99" s="115"/>
      <c r="B99" s="66" t="s">
        <v>577</v>
      </c>
      <c r="C99" s="66" t="s">
        <v>822</v>
      </c>
      <c r="D99" s="89" t="n">
        <f aca="false">COUNTIFS('Données sites'!$D$2:$D$500,$A$84,'Données sites'!$E$2:$E$500,$B99,'Données sites'!$F$2:$F$500,$C99)</f>
        <v>1</v>
      </c>
      <c r="E99" s="90" t="n">
        <f aca="false">SUMIFS('Données sites'!$G$2:$G$500,'Données sites'!$D$2:$D$500,$A$84,'Données sites'!$E$2:$E$500,$B99,'Données sites'!$F$2:$F$500,$C99)</f>
        <v>80</v>
      </c>
      <c r="F99" s="90" t="n">
        <f aca="false">IFERROR(E99/D99,0)</f>
        <v>80</v>
      </c>
    </row>
    <row r="100" customFormat="false" ht="14.25" hidden="false" customHeight="false" outlineLevel="0" collapsed="false">
      <c r="A100" s="114"/>
      <c r="B100" s="75" t="s">
        <v>570</v>
      </c>
      <c r="C100" s="75" t="s">
        <v>823</v>
      </c>
      <c r="D100" s="77" t="n">
        <f aca="false">COUNTIFS('Données sites'!$D$2:$D$500,$A$84,'Données sites'!$E$2:$E$500,$B100,'Données sites'!$F$2:$F$500,$C100)</f>
        <v>1</v>
      </c>
      <c r="E100" s="78" t="n">
        <f aca="false">SUMIFS('Données sites'!$G$2:$G$500,'Données sites'!$D$2:$D$500,$A$84,'Données sites'!$E$2:$E$500,$B100,'Données sites'!$F$2:$F$500,$C100)</f>
        <v>183.6</v>
      </c>
      <c r="F100" s="78" t="n">
        <f aca="false">IFERROR(E100/D100,0)</f>
        <v>183.6</v>
      </c>
    </row>
    <row r="101" customFormat="false" ht="14.25" hidden="false" customHeight="false" outlineLevel="0" collapsed="false">
      <c r="A101" s="115"/>
      <c r="B101" s="66" t="s">
        <v>570</v>
      </c>
      <c r="C101" s="66" t="s">
        <v>824</v>
      </c>
      <c r="D101" s="89" t="n">
        <f aca="false">COUNTIFS('Données sites'!$D$2:$D$500,$A$84,'Données sites'!$E$2:$E$500,$B101,'Données sites'!$F$2:$F$500,$C101)</f>
        <v>5</v>
      </c>
      <c r="E101" s="90" t="n">
        <f aca="false">SUMIFS('Données sites'!$G$2:$G$500,'Données sites'!$D$2:$D$500,$A$84,'Données sites'!$E$2:$E$500,$B101,'Données sites'!$F$2:$F$500,$C101)</f>
        <v>305.4</v>
      </c>
      <c r="F101" s="90" t="n">
        <f aca="false">IFERROR(E101/D101,0)</f>
        <v>61.08</v>
      </c>
    </row>
    <row r="102" customFormat="false" ht="14.25" hidden="false" customHeight="false" outlineLevel="0" collapsed="false">
      <c r="A102" s="114"/>
      <c r="B102" s="75" t="s">
        <v>622</v>
      </c>
      <c r="C102" s="75" t="s">
        <v>825</v>
      </c>
      <c r="D102" s="77" t="n">
        <f aca="false">COUNTIFS('Données sites'!$D$2:$D$500,$A$84,'Données sites'!$E$2:$E$500,$B102,'Données sites'!$F$2:$F$500,$C102)</f>
        <v>1</v>
      </c>
      <c r="E102" s="78" t="n">
        <f aca="false">SUMIFS('Données sites'!$G$2:$G$500,'Données sites'!$D$2:$D$500,$A$84,'Données sites'!$E$2:$E$500,$B102,'Données sites'!$F$2:$F$500,$C102)</f>
        <v>21.6</v>
      </c>
      <c r="F102" s="78" t="n">
        <f aca="false">IFERROR(E102/D102,0)</f>
        <v>21.6</v>
      </c>
    </row>
    <row r="103" customFormat="false" ht="14.25" hidden="false" customHeight="false" outlineLevel="0" collapsed="false">
      <c r="A103" s="115"/>
      <c r="B103" s="66" t="s">
        <v>622</v>
      </c>
      <c r="C103" s="66" t="s">
        <v>826</v>
      </c>
      <c r="D103" s="89" t="n">
        <f aca="false">COUNTIFS('Données sites'!$D$2:$D$500,$A$84,'Données sites'!$E$2:$E$500,$B103,'Données sites'!$F$2:$F$500,$C103)</f>
        <v>2</v>
      </c>
      <c r="E103" s="90" t="n">
        <f aca="false">SUMIFS('Données sites'!$G$2:$G$500,'Données sites'!$D$2:$D$500,$A$84,'Données sites'!$E$2:$E$500,$B103,'Données sites'!$F$2:$F$500,$C103)</f>
        <v>134</v>
      </c>
      <c r="F103" s="90" t="n">
        <f aca="false">IFERROR(E103/D103,0)</f>
        <v>67</v>
      </c>
    </row>
    <row r="104" customFormat="false" ht="14.25" hidden="false" customHeight="false" outlineLevel="0" collapsed="false">
      <c r="A104" s="114"/>
      <c r="B104" s="75" t="s">
        <v>622</v>
      </c>
      <c r="C104" s="75" t="s">
        <v>827</v>
      </c>
      <c r="D104" s="77" t="n">
        <f aca="false">COUNTIFS('Données sites'!$D$2:$D$500,$A$84,'Données sites'!$E$2:$E$500,$B104,'Données sites'!$F$2:$F$500,$C104)</f>
        <v>2</v>
      </c>
      <c r="E104" s="78" t="n">
        <f aca="false">SUMIFS('Données sites'!$G$2:$G$500,'Données sites'!$D$2:$D$500,$A$84,'Données sites'!$E$2:$E$500,$B104,'Données sites'!$F$2:$F$500,$C104)</f>
        <v>129.6</v>
      </c>
      <c r="F104" s="78" t="n">
        <f aca="false">IFERROR(E104/D104,0)</f>
        <v>64.8</v>
      </c>
    </row>
    <row r="105" customFormat="false" ht="14.25" hidden="false" customHeight="false" outlineLevel="0" collapsed="false">
      <c r="A105" s="115"/>
      <c r="B105" s="66" t="s">
        <v>622</v>
      </c>
      <c r="C105" s="66" t="s">
        <v>828</v>
      </c>
      <c r="D105" s="89" t="n">
        <f aca="false">COUNTIFS('Données sites'!$D$2:$D$500,$A$84,'Données sites'!$E$2:$E$500,$B105,'Données sites'!$F$2:$F$500,$C105)</f>
        <v>1</v>
      </c>
      <c r="E105" s="90" t="n">
        <f aca="false">SUMIFS('Données sites'!$G$2:$G$500,'Données sites'!$D$2:$D$500,$A$84,'Données sites'!$E$2:$E$500,$B105,'Données sites'!$F$2:$F$500,$C105)</f>
        <v>80</v>
      </c>
      <c r="F105" s="90" t="n">
        <f aca="false">IFERROR(E105/D105,0)</f>
        <v>80</v>
      </c>
    </row>
    <row r="106" customFormat="false" ht="14.25" hidden="false" customHeight="false" outlineLevel="0" collapsed="false">
      <c r="A106" s="109" t="s">
        <v>53</v>
      </c>
      <c r="B106" s="110"/>
      <c r="C106" s="110"/>
      <c r="D106" s="111" t="n">
        <f aca="false">COUNTIFS('Données sites'!$D$2:$D$500,$A106)</f>
        <v>49</v>
      </c>
      <c r="E106" s="112" t="n">
        <f aca="false">SUMIFS('Données sites'!$G$2:$G$500,'Données sites'!$D$2:$D$500,$A106)</f>
        <v>3672</v>
      </c>
      <c r="F106" s="112" t="n">
        <f aca="false">IFERROR(E106/D106,0)</f>
        <v>74.9387755102041</v>
      </c>
    </row>
    <row r="107" customFormat="false" ht="14.25" hidden="false" customHeight="false" outlineLevel="0" collapsed="false">
      <c r="A107" s="115"/>
      <c r="B107" s="66" t="s">
        <v>300</v>
      </c>
      <c r="C107" s="66" t="s">
        <v>829</v>
      </c>
      <c r="D107" s="89" t="n">
        <f aca="false">COUNTIFS('Données sites'!$D$2:$D$500,$A$106,'Données sites'!$E$2:$E$500,$B107,'Données sites'!$F$2:$F$500,$C107)</f>
        <v>2</v>
      </c>
      <c r="E107" s="90" t="n">
        <f aca="false">SUMIFS('Données sites'!$G$2:$G$500,'Données sites'!$D$2:$D$500,$A$106,'Données sites'!$E$2:$E$500,$B107,'Données sites'!$F$2:$F$500,$C107)</f>
        <v>113.4</v>
      </c>
      <c r="F107" s="90" t="n">
        <f aca="false">IFERROR(E107/D107,0)</f>
        <v>56.7</v>
      </c>
    </row>
    <row r="108" customFormat="false" ht="14.25" hidden="false" customHeight="false" outlineLevel="0" collapsed="false">
      <c r="A108" s="114"/>
      <c r="B108" s="75" t="s">
        <v>300</v>
      </c>
      <c r="C108" s="75" t="s">
        <v>830</v>
      </c>
      <c r="D108" s="77" t="n">
        <f aca="false">COUNTIFS('Données sites'!$D$2:$D$500,$A$106,'Données sites'!$E$2:$E$500,$B108,'Données sites'!$F$2:$F$500,$C108)</f>
        <v>1</v>
      </c>
      <c r="E108" s="78" t="n">
        <f aca="false">SUMIFS('Données sites'!$G$2:$G$500,'Données sites'!$D$2:$D$500,$A$106,'Données sites'!$E$2:$E$500,$B108,'Données sites'!$F$2:$F$500,$C108)</f>
        <v>54</v>
      </c>
      <c r="F108" s="78" t="n">
        <f aca="false">IFERROR(E108/D108,0)</f>
        <v>54</v>
      </c>
    </row>
    <row r="109" customFormat="false" ht="14.25" hidden="false" customHeight="false" outlineLevel="0" collapsed="false">
      <c r="A109" s="115"/>
      <c r="B109" s="66" t="s">
        <v>300</v>
      </c>
      <c r="C109" s="66" t="s">
        <v>831</v>
      </c>
      <c r="D109" s="89" t="n">
        <f aca="false">COUNTIFS('Données sites'!$D$2:$D$500,$A$106,'Données sites'!$E$2:$E$500,$B109,'Données sites'!$F$2:$F$500,$C109)</f>
        <v>1</v>
      </c>
      <c r="E109" s="90" t="n">
        <f aca="false">SUMIFS('Données sites'!$G$2:$G$500,'Données sites'!$D$2:$D$500,$A$106,'Données sites'!$E$2:$E$500,$B109,'Données sites'!$F$2:$F$500,$C109)</f>
        <v>140.4</v>
      </c>
      <c r="F109" s="90" t="n">
        <f aca="false">IFERROR(E109/D109,0)</f>
        <v>140.4</v>
      </c>
    </row>
    <row r="110" customFormat="false" ht="14.25" hidden="false" customHeight="false" outlineLevel="0" collapsed="false">
      <c r="A110" s="114"/>
      <c r="B110" s="75" t="s">
        <v>300</v>
      </c>
      <c r="C110" s="75" t="s">
        <v>832</v>
      </c>
      <c r="D110" s="77" t="n">
        <f aca="false">COUNTIFS('Données sites'!$D$2:$D$500,$A$106,'Données sites'!$E$2:$E$500,$B110,'Données sites'!$F$2:$F$500,$C110)</f>
        <v>1</v>
      </c>
      <c r="E110" s="78" t="n">
        <f aca="false">SUMIFS('Données sites'!$G$2:$G$500,'Données sites'!$D$2:$D$500,$A$106,'Données sites'!$E$2:$E$500,$B110,'Données sites'!$F$2:$F$500,$C110)</f>
        <v>32.4</v>
      </c>
      <c r="F110" s="78" t="n">
        <f aca="false">IFERROR(E110/D110,0)</f>
        <v>32.4</v>
      </c>
    </row>
    <row r="111" customFormat="false" ht="14.25" hidden="false" customHeight="false" outlineLevel="0" collapsed="false">
      <c r="A111" s="115"/>
      <c r="B111" s="66" t="s">
        <v>300</v>
      </c>
      <c r="C111" s="66" t="s">
        <v>833</v>
      </c>
      <c r="D111" s="89" t="n">
        <f aca="false">COUNTIFS('Données sites'!$D$2:$D$500,$A$106,'Données sites'!$E$2:$E$500,$B111,'Données sites'!$F$2:$F$500,$C111)</f>
        <v>1</v>
      </c>
      <c r="E111" s="90" t="n">
        <f aca="false">SUMIFS('Données sites'!$G$2:$G$500,'Données sites'!$D$2:$D$500,$A$106,'Données sites'!$E$2:$E$500,$B111,'Données sites'!$F$2:$F$500,$C111)</f>
        <v>54</v>
      </c>
      <c r="F111" s="90" t="n">
        <f aca="false">IFERROR(E111/D111,0)</f>
        <v>54</v>
      </c>
    </row>
    <row r="112" customFormat="false" ht="14.25" hidden="false" customHeight="false" outlineLevel="0" collapsed="false">
      <c r="A112" s="114"/>
      <c r="B112" s="75" t="s">
        <v>300</v>
      </c>
      <c r="C112" s="75" t="s">
        <v>834</v>
      </c>
      <c r="D112" s="77" t="n">
        <f aca="false">COUNTIFS('Données sites'!$D$2:$D$500,$A$106,'Données sites'!$E$2:$E$500,$B112,'Données sites'!$F$2:$F$500,$C112)</f>
        <v>1</v>
      </c>
      <c r="E112" s="78" t="n">
        <f aca="false">SUMIFS('Données sites'!$G$2:$G$500,'Données sites'!$D$2:$D$500,$A$106,'Données sites'!$E$2:$E$500,$B112,'Données sites'!$F$2:$F$500,$C112)</f>
        <v>54</v>
      </c>
      <c r="F112" s="78" t="n">
        <f aca="false">IFERROR(E112/D112,0)</f>
        <v>54</v>
      </c>
    </row>
    <row r="113" customFormat="false" ht="14.25" hidden="false" customHeight="false" outlineLevel="0" collapsed="false">
      <c r="A113" s="115"/>
      <c r="B113" s="66" t="s">
        <v>300</v>
      </c>
      <c r="C113" s="66" t="s">
        <v>307</v>
      </c>
      <c r="D113" s="89" t="n">
        <f aca="false">COUNTIFS('Données sites'!$D$2:$D$500,$A$106,'Données sites'!$E$2:$E$500,$B113,'Données sites'!$F$2:$F$500,$C113)</f>
        <v>3</v>
      </c>
      <c r="E113" s="90" t="n">
        <f aca="false">SUMIFS('Données sites'!$G$2:$G$500,'Données sites'!$D$2:$D$500,$A$106,'Données sites'!$E$2:$E$500,$B113,'Données sites'!$F$2:$F$500,$C113)</f>
        <v>254</v>
      </c>
      <c r="F113" s="90" t="n">
        <f aca="false">IFERROR(E113/D113,0)</f>
        <v>84.6666666666667</v>
      </c>
    </row>
    <row r="114" customFormat="false" ht="14.25" hidden="false" customHeight="false" outlineLevel="0" collapsed="false">
      <c r="A114" s="114"/>
      <c r="B114" s="75" t="s">
        <v>300</v>
      </c>
      <c r="C114" s="75" t="s">
        <v>690</v>
      </c>
      <c r="D114" s="77" t="n">
        <f aca="false">COUNTIFS('Données sites'!$D$2:$D$500,$A$106,'Données sites'!$E$2:$E$500,$B114,'Données sites'!$F$2:$F$500,$C114)</f>
        <v>1</v>
      </c>
      <c r="E114" s="78" t="n">
        <f aca="false">SUMIFS('Données sites'!$G$2:$G$500,'Données sites'!$D$2:$D$500,$A$106,'Données sites'!$E$2:$E$500,$B114,'Données sites'!$F$2:$F$500,$C114)</f>
        <v>32.4</v>
      </c>
      <c r="F114" s="78" t="n">
        <f aca="false">IFERROR(E114/D114,0)</f>
        <v>32.4</v>
      </c>
    </row>
    <row r="115" customFormat="false" ht="14.25" hidden="false" customHeight="false" outlineLevel="0" collapsed="false">
      <c r="A115" s="115"/>
      <c r="B115" s="66" t="s">
        <v>300</v>
      </c>
      <c r="C115" s="66" t="s">
        <v>835</v>
      </c>
      <c r="D115" s="89" t="n">
        <f aca="false">COUNTIFS('Données sites'!$D$2:$D$500,$A$106,'Données sites'!$E$2:$E$500,$B115,'Données sites'!$F$2:$F$500,$C115)</f>
        <v>3</v>
      </c>
      <c r="E115" s="90" t="n">
        <f aca="false">SUMIFS('Données sites'!$G$2:$G$500,'Données sites'!$D$2:$D$500,$A$106,'Données sites'!$E$2:$E$500,$B115,'Données sites'!$F$2:$F$500,$C115)</f>
        <v>97.2</v>
      </c>
      <c r="F115" s="90" t="n">
        <f aca="false">IFERROR(E115/D115,0)</f>
        <v>32.4</v>
      </c>
    </row>
    <row r="116" customFormat="false" ht="14.25" hidden="false" customHeight="false" outlineLevel="0" collapsed="false">
      <c r="A116" s="114"/>
      <c r="B116" s="75" t="s">
        <v>300</v>
      </c>
      <c r="C116" s="75" t="s">
        <v>836</v>
      </c>
      <c r="D116" s="77" t="n">
        <f aca="false">COUNTIFS('Données sites'!$D$2:$D$500,$A$106,'Données sites'!$E$2:$E$500,$B116,'Données sites'!$F$2:$F$500,$C116)</f>
        <v>1</v>
      </c>
      <c r="E116" s="78" t="n">
        <f aca="false">SUMIFS('Données sites'!$G$2:$G$500,'Données sites'!$D$2:$D$500,$A$106,'Données sites'!$E$2:$E$500,$B116,'Données sites'!$F$2:$F$500,$C116)</f>
        <v>21.6</v>
      </c>
      <c r="F116" s="78" t="n">
        <f aca="false">IFERROR(E116/D116,0)</f>
        <v>21.6</v>
      </c>
    </row>
    <row r="117" customFormat="false" ht="14.25" hidden="false" customHeight="false" outlineLevel="0" collapsed="false">
      <c r="A117" s="115"/>
      <c r="B117" s="66" t="s">
        <v>300</v>
      </c>
      <c r="C117" s="66" t="s">
        <v>837</v>
      </c>
      <c r="D117" s="89" t="n">
        <f aca="false">COUNTIFS('Données sites'!$D$2:$D$500,$A$106,'Données sites'!$E$2:$E$500,$B117,'Données sites'!$F$2:$F$500,$C117)</f>
        <v>1</v>
      </c>
      <c r="E117" s="90" t="n">
        <f aca="false">SUMIFS('Données sites'!$G$2:$G$500,'Données sites'!$D$2:$D$500,$A$106,'Données sites'!$E$2:$E$500,$B117,'Données sites'!$F$2:$F$500,$C117)</f>
        <v>50</v>
      </c>
      <c r="F117" s="90" t="n">
        <f aca="false">IFERROR(E117/D117,0)</f>
        <v>50</v>
      </c>
    </row>
    <row r="118" customFormat="false" ht="14.25" hidden="false" customHeight="false" outlineLevel="0" collapsed="false">
      <c r="A118" s="114"/>
      <c r="B118" s="75" t="s">
        <v>300</v>
      </c>
      <c r="C118" s="75" t="s">
        <v>838</v>
      </c>
      <c r="D118" s="77" t="n">
        <f aca="false">COUNTIFS('Données sites'!$D$2:$D$500,$A$106,'Données sites'!$E$2:$E$500,$B118,'Données sites'!$F$2:$F$500,$C118)</f>
        <v>1</v>
      </c>
      <c r="E118" s="78" t="n">
        <f aca="false">SUMIFS('Données sites'!$G$2:$G$500,'Données sites'!$D$2:$D$500,$A$106,'Données sites'!$E$2:$E$500,$B118,'Données sites'!$F$2:$F$500,$C118)</f>
        <v>97.2</v>
      </c>
      <c r="F118" s="78" t="n">
        <f aca="false">IFERROR(E118/D118,0)</f>
        <v>97.2</v>
      </c>
    </row>
    <row r="119" customFormat="false" ht="14.25" hidden="false" customHeight="false" outlineLevel="0" collapsed="false">
      <c r="A119" s="115"/>
      <c r="B119" s="66" t="s">
        <v>300</v>
      </c>
      <c r="C119" s="66" t="s">
        <v>313</v>
      </c>
      <c r="D119" s="89" t="n">
        <f aca="false">COUNTIFS('Données sites'!$D$2:$D$500,$A$106,'Données sites'!$E$2:$E$500,$B119,'Données sites'!$F$2:$F$500,$C119)</f>
        <v>3</v>
      </c>
      <c r="E119" s="90" t="n">
        <f aca="false">SUMIFS('Données sites'!$G$2:$G$500,'Données sites'!$D$2:$D$500,$A$106,'Données sites'!$E$2:$E$500,$B119,'Données sites'!$F$2:$F$500,$C119)</f>
        <v>241</v>
      </c>
      <c r="F119" s="90" t="n">
        <f aca="false">IFERROR(E119/D119,0)</f>
        <v>80.3333333333333</v>
      </c>
    </row>
    <row r="120" customFormat="false" ht="14.25" hidden="false" customHeight="false" outlineLevel="0" collapsed="false">
      <c r="A120" s="114"/>
      <c r="B120" s="75" t="s">
        <v>300</v>
      </c>
      <c r="C120" s="75" t="s">
        <v>839</v>
      </c>
      <c r="D120" s="77" t="n">
        <f aca="false">COUNTIFS('Données sites'!$D$2:$D$500,$A$106,'Données sites'!$E$2:$E$500,$B120,'Données sites'!$F$2:$F$500,$C120)</f>
        <v>1</v>
      </c>
      <c r="E120" s="78" t="n">
        <f aca="false">SUMIFS('Données sites'!$G$2:$G$500,'Données sites'!$D$2:$D$500,$A$106,'Données sites'!$E$2:$E$500,$B120,'Données sites'!$F$2:$F$500,$C120)</f>
        <v>54</v>
      </c>
      <c r="F120" s="78" t="n">
        <f aca="false">IFERROR(E120/D120,0)</f>
        <v>54</v>
      </c>
    </row>
    <row r="121" customFormat="false" ht="14.25" hidden="false" customHeight="false" outlineLevel="0" collapsed="false">
      <c r="A121" s="115"/>
      <c r="B121" s="66" t="s">
        <v>332</v>
      </c>
      <c r="C121" s="66" t="s">
        <v>840</v>
      </c>
      <c r="D121" s="89" t="n">
        <f aca="false">COUNTIFS('Données sites'!$D$2:$D$500,$A$106,'Données sites'!$E$2:$E$500,$B121,'Données sites'!$F$2:$F$500,$C121)</f>
        <v>4</v>
      </c>
      <c r="E121" s="90" t="n">
        <f aca="false">SUMIFS('Données sites'!$G$2:$G$500,'Données sites'!$D$2:$D$500,$A$106,'Données sites'!$E$2:$E$500,$B121,'Données sites'!$F$2:$F$500,$C121)</f>
        <v>302.4</v>
      </c>
      <c r="F121" s="90" t="n">
        <f aca="false">IFERROR(E121/D121,0)</f>
        <v>75.6</v>
      </c>
    </row>
    <row r="122" customFormat="false" ht="14.25" hidden="false" customHeight="false" outlineLevel="0" collapsed="false">
      <c r="A122" s="114"/>
      <c r="B122" s="75" t="s">
        <v>332</v>
      </c>
      <c r="C122" s="75" t="s">
        <v>841</v>
      </c>
      <c r="D122" s="77" t="n">
        <f aca="false">COUNTIFS('Données sites'!$D$2:$D$500,$A$106,'Données sites'!$E$2:$E$500,$B122,'Données sites'!$F$2:$F$500,$C122)</f>
        <v>3</v>
      </c>
      <c r="E122" s="78" t="n">
        <f aca="false">SUMIFS('Données sites'!$G$2:$G$500,'Données sites'!$D$2:$D$500,$A$106,'Données sites'!$E$2:$E$500,$B122,'Données sites'!$F$2:$F$500,$C122)</f>
        <v>464.4</v>
      </c>
      <c r="F122" s="78" t="n">
        <f aca="false">IFERROR(E122/D122,0)</f>
        <v>154.8</v>
      </c>
    </row>
    <row r="123" customFormat="false" ht="14.25" hidden="false" customHeight="false" outlineLevel="0" collapsed="false">
      <c r="A123" s="115"/>
      <c r="B123" s="66" t="s">
        <v>332</v>
      </c>
      <c r="C123" s="66" t="s">
        <v>842</v>
      </c>
      <c r="D123" s="89" t="n">
        <f aca="false">COUNTIFS('Données sites'!$D$2:$D$500,$A$106,'Données sites'!$E$2:$E$500,$B123,'Données sites'!$F$2:$F$500,$C123)</f>
        <v>2</v>
      </c>
      <c r="E123" s="90" t="n">
        <f aca="false">SUMIFS('Données sites'!$G$2:$G$500,'Données sites'!$D$2:$D$500,$A$106,'Données sites'!$E$2:$E$500,$B123,'Données sites'!$F$2:$F$500,$C123)</f>
        <v>51.6</v>
      </c>
      <c r="F123" s="90" t="n">
        <f aca="false">IFERROR(E123/D123,0)</f>
        <v>25.8</v>
      </c>
    </row>
    <row r="124" customFormat="false" ht="14.25" hidden="false" customHeight="false" outlineLevel="0" collapsed="false">
      <c r="A124" s="114"/>
      <c r="B124" s="75" t="s">
        <v>332</v>
      </c>
      <c r="C124" s="75" t="s">
        <v>843</v>
      </c>
      <c r="D124" s="77" t="n">
        <f aca="false">COUNTIFS('Données sites'!$D$2:$D$500,$A$106,'Données sites'!$E$2:$E$500,$B124,'Données sites'!$F$2:$F$500,$C124)</f>
        <v>1</v>
      </c>
      <c r="E124" s="78" t="n">
        <f aca="false">SUMIFS('Données sites'!$G$2:$G$500,'Données sites'!$D$2:$D$500,$A$106,'Données sites'!$E$2:$E$500,$B124,'Données sites'!$F$2:$F$500,$C124)</f>
        <v>32.4</v>
      </c>
      <c r="F124" s="78" t="n">
        <f aca="false">IFERROR(E124/D124,0)</f>
        <v>32.4</v>
      </c>
    </row>
    <row r="125" customFormat="false" ht="14.25" hidden="false" customHeight="false" outlineLevel="0" collapsed="false">
      <c r="A125" s="115"/>
      <c r="B125" s="66" t="s">
        <v>332</v>
      </c>
      <c r="C125" s="66" t="s">
        <v>344</v>
      </c>
      <c r="D125" s="89" t="n">
        <f aca="false">COUNTIFS('Données sites'!$D$2:$D$500,$A$106,'Données sites'!$E$2:$E$500,$B125,'Données sites'!$F$2:$F$500,$C125)</f>
        <v>2</v>
      </c>
      <c r="E125" s="90" t="n">
        <f aca="false">SUMIFS('Données sites'!$G$2:$G$500,'Données sites'!$D$2:$D$500,$A$106,'Données sites'!$E$2:$E$500,$B125,'Données sites'!$F$2:$F$500,$C125)</f>
        <v>178.2</v>
      </c>
      <c r="F125" s="90" t="n">
        <f aca="false">IFERROR(E125/D125,0)</f>
        <v>89.1</v>
      </c>
    </row>
    <row r="126" customFormat="false" ht="14.25" hidden="false" customHeight="false" outlineLevel="0" collapsed="false">
      <c r="A126" s="114"/>
      <c r="B126" s="75" t="s">
        <v>322</v>
      </c>
      <c r="C126" s="75" t="s">
        <v>325</v>
      </c>
      <c r="D126" s="77" t="n">
        <f aca="false">COUNTIFS('Données sites'!$D$2:$D$500,$A$106,'Données sites'!$E$2:$E$500,$B126,'Données sites'!$F$2:$F$500,$C126)</f>
        <v>1</v>
      </c>
      <c r="E126" s="78" t="n">
        <f aca="false">SUMIFS('Données sites'!$G$2:$G$500,'Données sites'!$D$2:$D$500,$A$106,'Données sites'!$E$2:$E$500,$B126,'Données sites'!$F$2:$F$500,$C126)</f>
        <v>80</v>
      </c>
      <c r="F126" s="78" t="n">
        <f aca="false">IFERROR(E126/D126,0)</f>
        <v>80</v>
      </c>
    </row>
    <row r="127" customFormat="false" ht="14.25" hidden="false" customHeight="false" outlineLevel="0" collapsed="false">
      <c r="A127" s="115"/>
      <c r="B127" s="66" t="s">
        <v>322</v>
      </c>
      <c r="C127" s="66" t="s">
        <v>326</v>
      </c>
      <c r="D127" s="89" t="n">
        <f aca="false">COUNTIFS('Données sites'!$D$2:$D$500,$A$106,'Données sites'!$E$2:$E$500,$B127,'Données sites'!$F$2:$F$500,$C127)</f>
        <v>2</v>
      </c>
      <c r="E127" s="90" t="n">
        <f aca="false">SUMIFS('Données sites'!$G$2:$G$500,'Données sites'!$D$2:$D$500,$A$106,'Données sites'!$E$2:$E$500,$B127,'Données sites'!$F$2:$F$500,$C127)</f>
        <v>160</v>
      </c>
      <c r="F127" s="90" t="n">
        <f aca="false">IFERROR(E127/D127,0)</f>
        <v>80</v>
      </c>
    </row>
    <row r="128" customFormat="false" ht="14.25" hidden="false" customHeight="false" outlineLevel="0" collapsed="false">
      <c r="A128" s="114"/>
      <c r="B128" s="75" t="s">
        <v>322</v>
      </c>
      <c r="C128" s="75" t="s">
        <v>327</v>
      </c>
      <c r="D128" s="77" t="n">
        <f aca="false">COUNTIFS('Données sites'!$D$2:$D$500,$A$106,'Données sites'!$E$2:$E$500,$B128,'Données sites'!$F$2:$F$500,$C128)</f>
        <v>1</v>
      </c>
      <c r="E128" s="78" t="n">
        <f aca="false">SUMIFS('Données sites'!$G$2:$G$500,'Données sites'!$D$2:$D$500,$A$106,'Données sites'!$E$2:$E$500,$B128,'Données sites'!$F$2:$F$500,$C128)</f>
        <v>183.6</v>
      </c>
      <c r="F128" s="78" t="n">
        <f aca="false">IFERROR(E128/D128,0)</f>
        <v>183.6</v>
      </c>
    </row>
    <row r="129" customFormat="false" ht="14.25" hidden="false" customHeight="false" outlineLevel="0" collapsed="false">
      <c r="A129" s="115"/>
      <c r="B129" s="66" t="s">
        <v>322</v>
      </c>
      <c r="C129" s="66" t="s">
        <v>837</v>
      </c>
      <c r="D129" s="89" t="n">
        <f aca="false">COUNTIFS('Données sites'!$D$2:$D$500,$A$106,'Données sites'!$E$2:$E$500,$B129,'Données sites'!$F$2:$F$500,$C129)</f>
        <v>1</v>
      </c>
      <c r="E129" s="90" t="n">
        <f aca="false">SUMIFS('Données sites'!$G$2:$G$500,'Données sites'!$D$2:$D$500,$A$106,'Données sites'!$E$2:$E$500,$B129,'Données sites'!$F$2:$F$500,$C129)</f>
        <v>54</v>
      </c>
      <c r="F129" s="90" t="n">
        <f aca="false">IFERROR(E129/D129,0)</f>
        <v>54</v>
      </c>
    </row>
    <row r="130" customFormat="false" ht="14.25" hidden="false" customHeight="false" outlineLevel="0" collapsed="false">
      <c r="A130" s="114"/>
      <c r="B130" s="75" t="s">
        <v>322</v>
      </c>
      <c r="C130" s="75" t="s">
        <v>329</v>
      </c>
      <c r="D130" s="77" t="n">
        <f aca="false">COUNTIFS('Données sites'!$D$2:$D$500,$A$106,'Données sites'!$E$2:$E$500,$B130,'Données sites'!$F$2:$F$500,$C130)</f>
        <v>3</v>
      </c>
      <c r="E130" s="78" t="n">
        <f aca="false">SUMIFS('Données sites'!$G$2:$G$500,'Données sites'!$D$2:$D$500,$A$106,'Données sites'!$E$2:$E$500,$B130,'Données sites'!$F$2:$F$500,$C130)</f>
        <v>334.8</v>
      </c>
      <c r="F130" s="78" t="n">
        <f aca="false">IFERROR(E130/D130,0)</f>
        <v>111.6</v>
      </c>
    </row>
    <row r="131" customFormat="false" ht="14.25" hidden="false" customHeight="false" outlineLevel="0" collapsed="false">
      <c r="A131" s="115"/>
      <c r="B131" s="66" t="s">
        <v>322</v>
      </c>
      <c r="C131" s="66" t="s">
        <v>844</v>
      </c>
      <c r="D131" s="89" t="n">
        <f aca="false">COUNTIFS('Données sites'!$D$2:$D$500,$A$106,'Données sites'!$E$2:$E$500,$B131,'Données sites'!$F$2:$F$500,$C131)</f>
        <v>1</v>
      </c>
      <c r="E131" s="90" t="n">
        <f aca="false">SUMIFS('Données sites'!$G$2:$G$500,'Données sites'!$D$2:$D$500,$A$106,'Données sites'!$E$2:$E$500,$B131,'Données sites'!$F$2:$F$500,$C131)</f>
        <v>81</v>
      </c>
      <c r="F131" s="90" t="n">
        <f aca="false">IFERROR(E131/D131,0)</f>
        <v>81</v>
      </c>
    </row>
    <row r="132" customFormat="false" ht="14.25" hidden="false" customHeight="false" outlineLevel="0" collapsed="false">
      <c r="A132" s="114"/>
      <c r="B132" s="75" t="s">
        <v>293</v>
      </c>
      <c r="C132" s="75" t="s">
        <v>294</v>
      </c>
      <c r="D132" s="77" t="n">
        <f aca="false">COUNTIFS('Données sites'!$D$2:$D$500,$A$106,'Données sites'!$E$2:$E$500,$B132,'Données sites'!$F$2:$F$500,$C132)</f>
        <v>2</v>
      </c>
      <c r="E132" s="78" t="n">
        <f aca="false">SUMIFS('Données sites'!$G$2:$G$500,'Données sites'!$D$2:$D$500,$A$106,'Données sites'!$E$2:$E$500,$B132,'Données sites'!$F$2:$F$500,$C132)</f>
        <v>194.4</v>
      </c>
      <c r="F132" s="78" t="n">
        <f aca="false">IFERROR(E132/D132,0)</f>
        <v>97.2</v>
      </c>
    </row>
    <row r="133" customFormat="false" ht="14.25" hidden="false" customHeight="false" outlineLevel="0" collapsed="false">
      <c r="A133" s="115"/>
      <c r="B133" s="66" t="s">
        <v>293</v>
      </c>
      <c r="C133" s="66" t="s">
        <v>845</v>
      </c>
      <c r="D133" s="89" t="n">
        <f aca="false">COUNTIFS('Données sites'!$D$2:$D$500,$A$106,'Données sites'!$E$2:$E$500,$B133,'Données sites'!$F$2:$F$500,$C133)</f>
        <v>1</v>
      </c>
      <c r="E133" s="90" t="n">
        <f aca="false">SUMIFS('Données sites'!$G$2:$G$500,'Données sites'!$D$2:$D$500,$A$106,'Données sites'!$E$2:$E$500,$B133,'Données sites'!$F$2:$F$500,$C133)</f>
        <v>54</v>
      </c>
      <c r="F133" s="90" t="n">
        <f aca="false">IFERROR(E133/D133,0)</f>
        <v>54</v>
      </c>
    </row>
    <row r="134" customFormat="false" ht="14.25" hidden="false" customHeight="false" outlineLevel="0" collapsed="false">
      <c r="A134" s="114"/>
      <c r="B134" s="75" t="s">
        <v>293</v>
      </c>
      <c r="C134" s="75" t="s">
        <v>846</v>
      </c>
      <c r="D134" s="77" t="n">
        <f aca="false">COUNTIFS('Données sites'!$D$2:$D$500,$A$106,'Données sites'!$E$2:$E$500,$B134,'Données sites'!$F$2:$F$500,$C134)</f>
        <v>1</v>
      </c>
      <c r="E134" s="78" t="n">
        <f aca="false">SUMIFS('Données sites'!$G$2:$G$500,'Données sites'!$D$2:$D$500,$A$106,'Données sites'!$E$2:$E$500,$B134,'Données sites'!$F$2:$F$500,$C134)</f>
        <v>54</v>
      </c>
      <c r="F134" s="78" t="n">
        <f aca="false">IFERROR(E134/D134,0)</f>
        <v>54</v>
      </c>
    </row>
    <row r="135" customFormat="false" ht="14.25" hidden="false" customHeight="false" outlineLevel="0" collapsed="false">
      <c r="A135" s="115"/>
      <c r="B135" s="66" t="s">
        <v>293</v>
      </c>
      <c r="C135" s="66" t="s">
        <v>847</v>
      </c>
      <c r="D135" s="89" t="n">
        <f aca="false">COUNTIFS('Données sites'!$D$2:$D$500,$A$106,'Données sites'!$E$2:$E$500,$B135,'Données sites'!$F$2:$F$500,$C135)</f>
        <v>2</v>
      </c>
      <c r="E135" s="90" t="n">
        <f aca="false">SUMIFS('Données sites'!$G$2:$G$500,'Données sites'!$D$2:$D$500,$A$106,'Données sites'!$E$2:$E$500,$B135,'Données sites'!$F$2:$F$500,$C135)</f>
        <v>101.6</v>
      </c>
      <c r="F135" s="90" t="n">
        <f aca="false">IFERROR(E135/D135,0)</f>
        <v>50.8</v>
      </c>
    </row>
    <row r="136" customFormat="false" ht="14.25" hidden="false" customHeight="false" outlineLevel="0" collapsed="false">
      <c r="A136" s="114"/>
      <c r="B136" s="75" t="s">
        <v>291</v>
      </c>
      <c r="C136" s="75" t="s">
        <v>848</v>
      </c>
      <c r="D136" s="77" t="n">
        <f aca="false">COUNTIFS('Données sites'!$D$2:$D$500,$A$106,'Données sites'!$E$2:$E$500,$B136,'Données sites'!$F$2:$F$500,$C136)</f>
        <v>1</v>
      </c>
      <c r="E136" s="78" t="n">
        <f aca="false">SUMIFS('Données sites'!$G$2:$G$500,'Données sites'!$D$2:$D$500,$A$106,'Données sites'!$E$2:$E$500,$B136,'Données sites'!$F$2:$F$500,$C136)</f>
        <v>50</v>
      </c>
      <c r="F136" s="78" t="n">
        <f aca="false">IFERROR(E136/D136,0)</f>
        <v>50</v>
      </c>
    </row>
    <row r="137" customFormat="false" ht="14.25" hidden="false" customHeight="false" outlineLevel="0" collapsed="false">
      <c r="A137" s="109" t="s">
        <v>31</v>
      </c>
      <c r="B137" s="110"/>
      <c r="C137" s="110"/>
      <c r="D137" s="111" t="n">
        <f aca="false">COUNTIFS('Données sites'!$D$2:$D$500,$A137)</f>
        <v>46</v>
      </c>
      <c r="E137" s="112" t="n">
        <f aca="false">SUMIFS('Données sites'!$G$2:$G$500,'Données sites'!$D$2:$D$500,$A137)</f>
        <v>4341</v>
      </c>
      <c r="F137" s="112" t="n">
        <f aca="false">IFERROR(E137/D137,0)</f>
        <v>94.3695652173913</v>
      </c>
    </row>
    <row r="138" customFormat="false" ht="14.25" hidden="false" customHeight="false" outlineLevel="0" collapsed="false">
      <c r="A138" s="114"/>
      <c r="B138" s="75" t="s">
        <v>454</v>
      </c>
      <c r="C138" s="75" t="s">
        <v>456</v>
      </c>
      <c r="D138" s="77" t="n">
        <f aca="false">COUNTIFS('Données sites'!$D$2:$D$500,$A$137,'Données sites'!$E$2:$E$500,$B138,'Données sites'!$F$2:$F$500,$C138)</f>
        <v>1</v>
      </c>
      <c r="E138" s="78" t="n">
        <f aca="false">SUMIFS('Données sites'!$G$2:$G$500,'Données sites'!$D$2:$D$500,$A$137,'Données sites'!$E$2:$E$500,$B138,'Données sites'!$F$2:$F$500,$C138)</f>
        <v>97.2</v>
      </c>
      <c r="F138" s="78" t="n">
        <f aca="false">IFERROR(E138/D138,0)</f>
        <v>97.2</v>
      </c>
    </row>
    <row r="139" customFormat="false" ht="14.25" hidden="false" customHeight="false" outlineLevel="0" collapsed="false">
      <c r="A139" s="115"/>
      <c r="B139" s="66" t="s">
        <v>454</v>
      </c>
      <c r="C139" s="66" t="s">
        <v>463</v>
      </c>
      <c r="D139" s="89" t="n">
        <f aca="false">COUNTIFS('Données sites'!$D$2:$D$500,$A$137,'Données sites'!$E$2:$E$500,$B139,'Données sites'!$F$2:$F$500,$C139)</f>
        <v>2</v>
      </c>
      <c r="E139" s="90" t="n">
        <f aca="false">SUMIFS('Données sites'!$G$2:$G$500,'Données sites'!$D$2:$D$500,$A$137,'Données sites'!$E$2:$E$500,$B139,'Données sites'!$F$2:$F$500,$C139)</f>
        <v>230</v>
      </c>
      <c r="F139" s="90" t="n">
        <f aca="false">IFERROR(E139/D139,0)</f>
        <v>115</v>
      </c>
    </row>
    <row r="140" customFormat="false" ht="14.25" hidden="false" customHeight="false" outlineLevel="0" collapsed="false">
      <c r="A140" s="114"/>
      <c r="B140" s="75" t="s">
        <v>454</v>
      </c>
      <c r="C140" s="75" t="s">
        <v>468</v>
      </c>
      <c r="D140" s="77" t="n">
        <f aca="false">COUNTIFS('Données sites'!$D$2:$D$500,$A$137,'Données sites'!$E$2:$E$500,$B140,'Données sites'!$F$2:$F$500,$C140)</f>
        <v>2</v>
      </c>
      <c r="E140" s="78" t="n">
        <f aca="false">SUMIFS('Données sites'!$G$2:$G$500,'Données sites'!$D$2:$D$500,$A$137,'Données sites'!$E$2:$E$500,$B140,'Données sites'!$F$2:$F$500,$C140)</f>
        <v>221.4</v>
      </c>
      <c r="F140" s="78" t="n">
        <f aca="false">IFERROR(E140/D140,0)</f>
        <v>110.7</v>
      </c>
    </row>
    <row r="141" customFormat="false" ht="14.25" hidden="false" customHeight="false" outlineLevel="0" collapsed="false">
      <c r="A141" s="115"/>
      <c r="B141" s="66" t="s">
        <v>454</v>
      </c>
      <c r="C141" s="66" t="s">
        <v>849</v>
      </c>
      <c r="D141" s="89" t="n">
        <f aca="false">COUNTIFS('Données sites'!$D$2:$D$500,$A$137,'Données sites'!$E$2:$E$500,$B141,'Données sites'!$F$2:$F$500,$C141)</f>
        <v>1</v>
      </c>
      <c r="E141" s="90" t="n">
        <f aca="false">SUMIFS('Données sites'!$G$2:$G$500,'Données sites'!$D$2:$D$500,$A$137,'Données sites'!$E$2:$E$500,$B141,'Données sites'!$F$2:$F$500,$C141)</f>
        <v>80</v>
      </c>
      <c r="F141" s="90" t="n">
        <f aca="false">IFERROR(E141/D141,0)</f>
        <v>80</v>
      </c>
    </row>
    <row r="142" customFormat="false" ht="14.25" hidden="false" customHeight="false" outlineLevel="0" collapsed="false">
      <c r="A142" s="114"/>
      <c r="B142" s="75" t="s">
        <v>454</v>
      </c>
      <c r="C142" s="75" t="s">
        <v>850</v>
      </c>
      <c r="D142" s="77" t="n">
        <f aca="false">COUNTIFS('Données sites'!$D$2:$D$500,$A$137,'Données sites'!$E$2:$E$500,$B142,'Données sites'!$F$2:$F$500,$C142)</f>
        <v>4</v>
      </c>
      <c r="E142" s="78" t="n">
        <f aca="false">SUMIFS('Données sites'!$G$2:$G$500,'Données sites'!$D$2:$D$500,$A$137,'Données sites'!$E$2:$E$500,$B142,'Données sites'!$F$2:$F$500,$C142)</f>
        <v>397.6</v>
      </c>
      <c r="F142" s="78" t="n">
        <f aca="false">IFERROR(E142/D142,0)</f>
        <v>99.4</v>
      </c>
    </row>
    <row r="143" customFormat="false" ht="14.25" hidden="false" customHeight="false" outlineLevel="0" collapsed="false">
      <c r="A143" s="115"/>
      <c r="B143" s="66" t="s">
        <v>454</v>
      </c>
      <c r="C143" s="66" t="s">
        <v>851</v>
      </c>
      <c r="D143" s="89" t="n">
        <f aca="false">COUNTIFS('Données sites'!$D$2:$D$500,$A$137,'Données sites'!$E$2:$E$500,$B143,'Données sites'!$F$2:$F$500,$C143)</f>
        <v>2</v>
      </c>
      <c r="E143" s="90" t="n">
        <f aca="false">SUMIFS('Données sites'!$G$2:$G$500,'Données sites'!$D$2:$D$500,$A$137,'Données sites'!$E$2:$E$500,$B143,'Données sites'!$F$2:$F$500,$C143)</f>
        <v>194.4</v>
      </c>
      <c r="F143" s="90" t="n">
        <f aca="false">IFERROR(E143/D143,0)</f>
        <v>97.2</v>
      </c>
    </row>
    <row r="144" customFormat="false" ht="14.25" hidden="false" customHeight="false" outlineLevel="0" collapsed="false">
      <c r="A144" s="114"/>
      <c r="B144" s="75" t="s">
        <v>454</v>
      </c>
      <c r="C144" s="75" t="s">
        <v>852</v>
      </c>
      <c r="D144" s="77" t="n">
        <f aca="false">COUNTIFS('Données sites'!$D$2:$D$500,$A$137,'Données sites'!$E$2:$E$500,$B144,'Données sites'!$F$2:$F$500,$C144)</f>
        <v>4</v>
      </c>
      <c r="E144" s="78" t="n">
        <f aca="false">SUMIFS('Données sites'!$G$2:$G$500,'Données sites'!$D$2:$D$500,$A$137,'Données sites'!$E$2:$E$500,$B144,'Données sites'!$F$2:$F$500,$C144)</f>
        <v>380.4</v>
      </c>
      <c r="F144" s="78" t="n">
        <f aca="false">IFERROR(E144/D144,0)</f>
        <v>95.1</v>
      </c>
    </row>
    <row r="145" customFormat="false" ht="14.25" hidden="false" customHeight="false" outlineLevel="0" collapsed="false">
      <c r="A145" s="115"/>
      <c r="B145" s="66" t="s">
        <v>419</v>
      </c>
      <c r="C145" s="66" t="s">
        <v>853</v>
      </c>
      <c r="D145" s="89" t="n">
        <f aca="false">COUNTIFS('Données sites'!$D$2:$D$500,$A$137,'Données sites'!$E$2:$E$500,$B145,'Données sites'!$F$2:$F$500,$C145)</f>
        <v>3</v>
      </c>
      <c r="E145" s="90" t="n">
        <f aca="false">SUMIFS('Données sites'!$G$2:$G$500,'Données sites'!$D$2:$D$500,$A$137,'Données sites'!$E$2:$E$500,$B145,'Données sites'!$F$2:$F$500,$C145)</f>
        <v>378</v>
      </c>
      <c r="F145" s="90" t="n">
        <f aca="false">IFERROR(E145/D145,0)</f>
        <v>126</v>
      </c>
    </row>
    <row r="146" customFormat="false" ht="14.25" hidden="false" customHeight="false" outlineLevel="0" collapsed="false">
      <c r="A146" s="114"/>
      <c r="B146" s="75" t="s">
        <v>419</v>
      </c>
      <c r="C146" s="75" t="s">
        <v>854</v>
      </c>
      <c r="D146" s="77" t="n">
        <f aca="false">COUNTIFS('Données sites'!$D$2:$D$500,$A$137,'Données sites'!$E$2:$E$500,$B146,'Données sites'!$F$2:$F$500,$C146)</f>
        <v>3</v>
      </c>
      <c r="E146" s="78" t="n">
        <f aca="false">SUMIFS('Données sites'!$G$2:$G$500,'Données sites'!$D$2:$D$500,$A$137,'Données sites'!$E$2:$E$500,$B146,'Données sites'!$F$2:$F$500,$C146)</f>
        <v>378</v>
      </c>
      <c r="F146" s="78" t="n">
        <f aca="false">IFERROR(E146/D146,0)</f>
        <v>126</v>
      </c>
    </row>
    <row r="147" customFormat="false" ht="14.25" hidden="false" customHeight="false" outlineLevel="0" collapsed="false">
      <c r="A147" s="115"/>
      <c r="B147" s="66" t="s">
        <v>419</v>
      </c>
      <c r="C147" s="66" t="s">
        <v>855</v>
      </c>
      <c r="D147" s="89" t="n">
        <f aca="false">COUNTIFS('Données sites'!$D$2:$D$500,$A$137,'Données sites'!$E$2:$E$500,$B147,'Données sites'!$F$2:$F$500,$C147)</f>
        <v>4</v>
      </c>
      <c r="E147" s="90" t="n">
        <f aca="false">SUMIFS('Données sites'!$G$2:$G$500,'Données sites'!$D$2:$D$500,$A$137,'Données sites'!$E$2:$E$500,$B147,'Données sites'!$F$2:$F$500,$C147)</f>
        <v>399.6</v>
      </c>
      <c r="F147" s="90" t="n">
        <f aca="false">IFERROR(E147/D147,0)</f>
        <v>99.9</v>
      </c>
    </row>
    <row r="148" customFormat="false" ht="14.25" hidden="false" customHeight="false" outlineLevel="0" collapsed="false">
      <c r="A148" s="114"/>
      <c r="B148" s="75" t="s">
        <v>444</v>
      </c>
      <c r="C148" s="75" t="s">
        <v>856</v>
      </c>
      <c r="D148" s="77" t="n">
        <f aca="false">COUNTIFS('Données sites'!$D$2:$D$500,$A$137,'Données sites'!$E$2:$E$500,$B148,'Données sites'!$F$2:$F$500,$C148)</f>
        <v>1</v>
      </c>
      <c r="E148" s="78" t="n">
        <f aca="false">SUMIFS('Données sites'!$G$2:$G$500,'Données sites'!$D$2:$D$500,$A$137,'Données sites'!$E$2:$E$500,$B148,'Données sites'!$F$2:$F$500,$C148)</f>
        <v>54</v>
      </c>
      <c r="F148" s="78" t="n">
        <f aca="false">IFERROR(E148/D148,0)</f>
        <v>54</v>
      </c>
    </row>
    <row r="149" customFormat="false" ht="14.25" hidden="false" customHeight="false" outlineLevel="0" collapsed="false">
      <c r="A149" s="115"/>
      <c r="B149" s="66" t="s">
        <v>444</v>
      </c>
      <c r="C149" s="66" t="s">
        <v>857</v>
      </c>
      <c r="D149" s="89" t="n">
        <f aca="false">COUNTIFS('Données sites'!$D$2:$D$500,$A$137,'Données sites'!$E$2:$E$500,$B149,'Données sites'!$F$2:$F$500,$C149)</f>
        <v>6</v>
      </c>
      <c r="E149" s="90" t="n">
        <f aca="false">SUMIFS('Données sites'!$G$2:$G$500,'Données sites'!$D$2:$D$500,$A$137,'Données sites'!$E$2:$E$500,$B149,'Données sites'!$F$2:$F$500,$C149)</f>
        <v>427.4</v>
      </c>
      <c r="F149" s="90" t="n">
        <f aca="false">IFERROR(E149/D149,0)</f>
        <v>71.2333333333333</v>
      </c>
    </row>
    <row r="150" customFormat="false" ht="14.25" hidden="false" customHeight="false" outlineLevel="0" collapsed="false">
      <c r="A150" s="114"/>
      <c r="B150" s="75" t="s">
        <v>444</v>
      </c>
      <c r="C150" s="75" t="s">
        <v>858</v>
      </c>
      <c r="D150" s="77" t="n">
        <f aca="false">COUNTIFS('Données sites'!$D$2:$D$500,$A$137,'Données sites'!$E$2:$E$500,$B150,'Données sites'!$F$2:$F$500,$C150)</f>
        <v>1</v>
      </c>
      <c r="E150" s="78" t="n">
        <f aca="false">SUMIFS('Données sites'!$G$2:$G$500,'Données sites'!$D$2:$D$500,$A$137,'Données sites'!$E$2:$E$500,$B150,'Données sites'!$F$2:$F$500,$C150)</f>
        <v>81</v>
      </c>
      <c r="F150" s="78" t="n">
        <f aca="false">IFERROR(E150/D150,0)</f>
        <v>81</v>
      </c>
    </row>
    <row r="151" customFormat="false" ht="14.25" hidden="false" customHeight="false" outlineLevel="0" collapsed="false">
      <c r="A151" s="115"/>
      <c r="B151" s="66" t="s">
        <v>444</v>
      </c>
      <c r="C151" s="66" t="s">
        <v>859</v>
      </c>
      <c r="D151" s="89" t="n">
        <f aca="false">COUNTIFS('Données sites'!$D$2:$D$500,$A$137,'Données sites'!$E$2:$E$500,$B151,'Données sites'!$F$2:$F$500,$C151)</f>
        <v>1</v>
      </c>
      <c r="E151" s="90" t="n">
        <f aca="false">SUMIFS('Données sites'!$G$2:$G$500,'Données sites'!$D$2:$D$500,$A$137,'Données sites'!$E$2:$E$500,$B151,'Données sites'!$F$2:$F$500,$C151)</f>
        <v>97.2</v>
      </c>
      <c r="F151" s="90" t="n">
        <f aca="false">IFERROR(E151/D151,0)</f>
        <v>97.2</v>
      </c>
    </row>
    <row r="152" customFormat="false" ht="14.25" hidden="false" customHeight="false" outlineLevel="0" collapsed="false">
      <c r="A152" s="114"/>
      <c r="B152" s="75" t="s">
        <v>433</v>
      </c>
      <c r="C152" s="75" t="s">
        <v>456</v>
      </c>
      <c r="D152" s="77" t="n">
        <f aca="false">COUNTIFS('Données sites'!$D$2:$D$500,$A$137,'Données sites'!$E$2:$E$500,$B152,'Données sites'!$F$2:$F$500,$C152)</f>
        <v>1</v>
      </c>
      <c r="E152" s="78" t="n">
        <f aca="false">SUMIFS('Données sites'!$G$2:$G$500,'Données sites'!$D$2:$D$500,$A$137,'Données sites'!$E$2:$E$500,$B152,'Données sites'!$F$2:$F$500,$C152)</f>
        <v>97.2</v>
      </c>
      <c r="F152" s="78" t="n">
        <f aca="false">IFERROR(E152/D152,0)</f>
        <v>97.2</v>
      </c>
    </row>
    <row r="153" customFormat="false" ht="14.25" hidden="false" customHeight="false" outlineLevel="0" collapsed="false">
      <c r="A153" s="115"/>
      <c r="B153" s="66" t="s">
        <v>433</v>
      </c>
      <c r="C153" s="66" t="s">
        <v>860</v>
      </c>
      <c r="D153" s="89" t="n">
        <f aca="false">COUNTIFS('Données sites'!$D$2:$D$500,$A$137,'Données sites'!$E$2:$E$500,$B153,'Données sites'!$F$2:$F$500,$C153)</f>
        <v>4</v>
      </c>
      <c r="E153" s="90" t="n">
        <f aca="false">SUMIFS('Données sites'!$G$2:$G$500,'Données sites'!$D$2:$D$500,$A$137,'Données sites'!$E$2:$E$500,$B153,'Données sites'!$F$2:$F$500,$C153)</f>
        <v>345.6</v>
      </c>
      <c r="F153" s="90" t="n">
        <f aca="false">IFERROR(E153/D153,0)</f>
        <v>86.4</v>
      </c>
    </row>
    <row r="154" customFormat="false" ht="14.25" hidden="false" customHeight="false" outlineLevel="0" collapsed="false">
      <c r="A154" s="114"/>
      <c r="B154" s="75" t="s">
        <v>439</v>
      </c>
      <c r="C154" s="75" t="s">
        <v>861</v>
      </c>
      <c r="D154" s="77" t="n">
        <f aca="false">COUNTIFS('Données sites'!$D$2:$D$500,$A$137,'Données sites'!$E$2:$E$500,$B154,'Données sites'!$F$2:$F$500,$C154)</f>
        <v>1</v>
      </c>
      <c r="E154" s="78" t="n">
        <f aca="false">SUMIFS('Données sites'!$G$2:$G$500,'Données sites'!$D$2:$D$500,$A$137,'Données sites'!$E$2:$E$500,$B154,'Données sites'!$F$2:$F$500,$C154)</f>
        <v>80</v>
      </c>
      <c r="F154" s="78" t="n">
        <f aca="false">IFERROR(E154/D154,0)</f>
        <v>80</v>
      </c>
    </row>
    <row r="155" customFormat="false" ht="14.25" hidden="false" customHeight="false" outlineLevel="0" collapsed="false">
      <c r="A155" s="115"/>
      <c r="B155" s="66" t="s">
        <v>439</v>
      </c>
      <c r="C155" s="66" t="s">
        <v>862</v>
      </c>
      <c r="D155" s="89" t="n">
        <f aca="false">COUNTIFS('Données sites'!$D$2:$D$500,$A$137,'Données sites'!$E$2:$E$500,$B155,'Données sites'!$F$2:$F$500,$C155)</f>
        <v>1</v>
      </c>
      <c r="E155" s="90" t="n">
        <f aca="false">SUMIFS('Données sites'!$G$2:$G$500,'Données sites'!$D$2:$D$500,$A$137,'Données sites'!$E$2:$E$500,$B155,'Données sites'!$F$2:$F$500,$C155)</f>
        <v>80</v>
      </c>
      <c r="F155" s="90" t="n">
        <f aca="false">IFERROR(E155/D155,0)</f>
        <v>80</v>
      </c>
    </row>
    <row r="156" customFormat="false" ht="14.25" hidden="false" customHeight="false" outlineLevel="0" collapsed="false">
      <c r="A156" s="114"/>
      <c r="B156" s="75" t="s">
        <v>439</v>
      </c>
      <c r="C156" s="75" t="s">
        <v>851</v>
      </c>
      <c r="D156" s="77" t="n">
        <f aca="false">COUNTIFS('Données sites'!$D$2:$D$500,$A$137,'Données sites'!$E$2:$E$500,$B156,'Données sites'!$F$2:$F$500,$C156)</f>
        <v>1</v>
      </c>
      <c r="E156" s="78" t="n">
        <f aca="false">SUMIFS('Données sites'!$G$2:$G$500,'Données sites'!$D$2:$D$500,$A$137,'Données sites'!$E$2:$E$500,$B156,'Données sites'!$F$2:$F$500,$C156)</f>
        <v>80</v>
      </c>
      <c r="F156" s="78" t="n">
        <f aca="false">IFERROR(E156/D156,0)</f>
        <v>80</v>
      </c>
    </row>
    <row r="157" customFormat="false" ht="14.25" hidden="false" customHeight="false" outlineLevel="0" collapsed="false">
      <c r="A157" s="115"/>
      <c r="B157" s="66" t="s">
        <v>439</v>
      </c>
      <c r="C157" s="66" t="s">
        <v>852</v>
      </c>
      <c r="D157" s="89" t="n">
        <f aca="false">COUNTIFS('Données sites'!$D$2:$D$500,$A$137,'Données sites'!$E$2:$E$500,$B157,'Données sites'!$F$2:$F$500,$C157)</f>
        <v>1</v>
      </c>
      <c r="E157" s="90" t="n">
        <f aca="false">SUMIFS('Données sites'!$G$2:$G$500,'Données sites'!$D$2:$D$500,$A$137,'Données sites'!$E$2:$E$500,$B157,'Données sites'!$F$2:$F$500,$C157)</f>
        <v>80</v>
      </c>
      <c r="F157" s="90" t="n">
        <f aca="false">IFERROR(E157/D157,0)</f>
        <v>80</v>
      </c>
    </row>
    <row r="158" customFormat="false" ht="14.25" hidden="false" customHeight="false" outlineLevel="0" collapsed="false">
      <c r="A158" s="114"/>
      <c r="B158" s="75" t="s">
        <v>430</v>
      </c>
      <c r="C158" s="75" t="s">
        <v>853</v>
      </c>
      <c r="D158" s="77" t="n">
        <f aca="false">COUNTIFS('Données sites'!$D$2:$D$500,$A$137,'Données sites'!$E$2:$E$500,$B158,'Données sites'!$F$2:$F$500,$C158)</f>
        <v>1</v>
      </c>
      <c r="E158" s="78" t="n">
        <f aca="false">SUMIFS('Données sites'!$G$2:$G$500,'Données sites'!$D$2:$D$500,$A$137,'Données sites'!$E$2:$E$500,$B158,'Données sites'!$F$2:$F$500,$C158)</f>
        <v>81</v>
      </c>
      <c r="F158" s="78" t="n">
        <f aca="false">IFERROR(E158/D158,0)</f>
        <v>81</v>
      </c>
    </row>
    <row r="159" customFormat="false" ht="14.25" hidden="false" customHeight="false" outlineLevel="0" collapsed="false">
      <c r="A159" s="115"/>
      <c r="B159" s="66" t="s">
        <v>430</v>
      </c>
      <c r="C159" s="66" t="s">
        <v>855</v>
      </c>
      <c r="D159" s="89" t="n">
        <f aca="false">COUNTIFS('Données sites'!$D$2:$D$500,$A$137,'Données sites'!$E$2:$E$500,$B159,'Données sites'!$F$2:$F$500,$C159)</f>
        <v>1</v>
      </c>
      <c r="E159" s="90" t="n">
        <f aca="false">SUMIFS('Données sites'!$G$2:$G$500,'Données sites'!$D$2:$D$500,$A$137,'Données sites'!$E$2:$E$500,$B159,'Données sites'!$F$2:$F$500,$C159)</f>
        <v>81</v>
      </c>
      <c r="F159" s="90" t="n">
        <f aca="false">IFERROR(E159/D159,0)</f>
        <v>81</v>
      </c>
    </row>
    <row r="160" customFormat="false" ht="14.25" hidden="false" customHeight="false" outlineLevel="0" collapsed="false">
      <c r="A160" s="109" t="s">
        <v>471</v>
      </c>
      <c r="B160" s="110"/>
      <c r="C160" s="110"/>
      <c r="D160" s="111" t="n">
        <f aca="false">COUNTIFS('Données sites'!$D$2:$D$500,$A160)</f>
        <v>42</v>
      </c>
      <c r="E160" s="112" t="n">
        <f aca="false">SUMIFS('Données sites'!$G$2:$G$500,'Données sites'!$D$2:$D$500,$A160)</f>
        <v>2084.6</v>
      </c>
      <c r="F160" s="112" t="n">
        <f aca="false">IFERROR(E160/D160,0)</f>
        <v>49.6333333333333</v>
      </c>
    </row>
    <row r="161" customFormat="false" ht="14.25" hidden="false" customHeight="false" outlineLevel="0" collapsed="false">
      <c r="A161" s="115"/>
      <c r="B161" s="66" t="s">
        <v>483</v>
      </c>
      <c r="C161" s="66" t="s">
        <v>863</v>
      </c>
      <c r="D161" s="89" t="n">
        <f aca="false">COUNTIFS('Données sites'!$D$2:$D$500,$A$160,'Données sites'!$E$2:$E$500,$B161,'Données sites'!$F$2:$F$500,$C161)</f>
        <v>2</v>
      </c>
      <c r="E161" s="90" t="n">
        <f aca="false">SUMIFS('Données sites'!$G$2:$G$500,'Données sites'!$D$2:$D$500,$A$160,'Données sites'!$E$2:$E$500,$B161,'Données sites'!$F$2:$F$500,$C161)</f>
        <v>86.4</v>
      </c>
      <c r="F161" s="90" t="n">
        <f aca="false">IFERROR(E161/D161,0)</f>
        <v>43.2</v>
      </c>
    </row>
    <row r="162" customFormat="false" ht="14.25" hidden="false" customHeight="false" outlineLevel="0" collapsed="false">
      <c r="A162" s="114"/>
      <c r="B162" s="75" t="s">
        <v>483</v>
      </c>
      <c r="C162" s="75" t="s">
        <v>864</v>
      </c>
      <c r="D162" s="77" t="n">
        <f aca="false">COUNTIFS('Données sites'!$D$2:$D$500,$A$160,'Données sites'!$E$2:$E$500,$B162,'Données sites'!$F$2:$F$500,$C162)</f>
        <v>1</v>
      </c>
      <c r="E162" s="78" t="n">
        <f aca="false">SUMIFS('Données sites'!$G$2:$G$500,'Données sites'!$D$2:$D$500,$A$160,'Données sites'!$E$2:$E$500,$B162,'Données sites'!$F$2:$F$500,$C162)</f>
        <v>21.6</v>
      </c>
      <c r="F162" s="78" t="n">
        <f aca="false">IFERROR(E162/D162,0)</f>
        <v>21.6</v>
      </c>
    </row>
    <row r="163" customFormat="false" ht="14.25" hidden="false" customHeight="false" outlineLevel="0" collapsed="false">
      <c r="A163" s="115"/>
      <c r="B163" s="66" t="s">
        <v>483</v>
      </c>
      <c r="C163" s="66" t="s">
        <v>865</v>
      </c>
      <c r="D163" s="89" t="n">
        <f aca="false">COUNTIFS('Données sites'!$D$2:$D$500,$A$160,'Données sites'!$E$2:$E$500,$B163,'Données sites'!$F$2:$F$500,$C163)</f>
        <v>2</v>
      </c>
      <c r="E163" s="90" t="n">
        <f aca="false">SUMIFS('Données sites'!$G$2:$G$500,'Données sites'!$D$2:$D$500,$A$160,'Données sites'!$E$2:$E$500,$B163,'Données sites'!$F$2:$F$500,$C163)</f>
        <v>54</v>
      </c>
      <c r="F163" s="90" t="n">
        <f aca="false">IFERROR(E163/D163,0)</f>
        <v>27</v>
      </c>
    </row>
    <row r="164" customFormat="false" ht="14.25" hidden="false" customHeight="false" outlineLevel="0" collapsed="false">
      <c r="A164" s="114"/>
      <c r="B164" s="75" t="s">
        <v>483</v>
      </c>
      <c r="C164" s="75" t="s">
        <v>866</v>
      </c>
      <c r="D164" s="77" t="n">
        <f aca="false">COUNTIFS('Données sites'!$D$2:$D$500,$A$160,'Données sites'!$E$2:$E$500,$B164,'Données sites'!$F$2:$F$500,$C164)</f>
        <v>1</v>
      </c>
      <c r="E164" s="78" t="n">
        <f aca="false">SUMIFS('Données sites'!$G$2:$G$500,'Données sites'!$D$2:$D$500,$A$160,'Données sites'!$E$2:$E$500,$B164,'Données sites'!$F$2:$F$500,$C164)</f>
        <v>32.4</v>
      </c>
      <c r="F164" s="78" t="n">
        <f aca="false">IFERROR(E164/D164,0)</f>
        <v>32.4</v>
      </c>
    </row>
    <row r="165" customFormat="false" ht="14.25" hidden="false" customHeight="false" outlineLevel="0" collapsed="false">
      <c r="A165" s="115"/>
      <c r="B165" s="66" t="s">
        <v>483</v>
      </c>
      <c r="C165" s="66" t="s">
        <v>867</v>
      </c>
      <c r="D165" s="89" t="n">
        <f aca="false">COUNTIFS('Données sites'!$D$2:$D$500,$A$160,'Données sites'!$E$2:$E$500,$B165,'Données sites'!$F$2:$F$500,$C165)</f>
        <v>1</v>
      </c>
      <c r="E165" s="90" t="n">
        <f aca="false">SUMIFS('Données sites'!$G$2:$G$500,'Données sites'!$D$2:$D$500,$A$160,'Données sites'!$E$2:$E$500,$B165,'Données sites'!$F$2:$F$500,$C165)</f>
        <v>54</v>
      </c>
      <c r="F165" s="90" t="n">
        <f aca="false">IFERROR(E165/D165,0)</f>
        <v>54</v>
      </c>
    </row>
    <row r="166" customFormat="false" ht="14.25" hidden="false" customHeight="false" outlineLevel="0" collapsed="false">
      <c r="A166" s="114"/>
      <c r="B166" s="75" t="s">
        <v>483</v>
      </c>
      <c r="C166" s="75" t="s">
        <v>868</v>
      </c>
      <c r="D166" s="77" t="n">
        <f aca="false">COUNTIFS('Données sites'!$D$2:$D$500,$A$160,'Données sites'!$E$2:$E$500,$B166,'Données sites'!$F$2:$F$500,$C166)</f>
        <v>1</v>
      </c>
      <c r="E166" s="78" t="n">
        <f aca="false">SUMIFS('Données sites'!$G$2:$G$500,'Données sites'!$D$2:$D$500,$A$160,'Données sites'!$E$2:$E$500,$B166,'Données sites'!$F$2:$F$500,$C166)</f>
        <v>21.6</v>
      </c>
      <c r="F166" s="78" t="n">
        <f aca="false">IFERROR(E166/D166,0)</f>
        <v>21.6</v>
      </c>
    </row>
    <row r="167" customFormat="false" ht="14.25" hidden="false" customHeight="false" outlineLevel="0" collapsed="false">
      <c r="A167" s="115"/>
      <c r="B167" s="66" t="s">
        <v>483</v>
      </c>
      <c r="C167" s="66" t="s">
        <v>869</v>
      </c>
      <c r="D167" s="89" t="n">
        <f aca="false">COUNTIFS('Données sites'!$D$2:$D$500,$A$160,'Données sites'!$E$2:$E$500,$B167,'Données sites'!$F$2:$F$500,$C167)</f>
        <v>2</v>
      </c>
      <c r="E167" s="90" t="n">
        <f aca="false">SUMIFS('Données sites'!$G$2:$G$500,'Données sites'!$D$2:$D$500,$A$160,'Données sites'!$E$2:$E$500,$B167,'Données sites'!$F$2:$F$500,$C167)</f>
        <v>95</v>
      </c>
      <c r="F167" s="90" t="n">
        <f aca="false">IFERROR(E167/D167,0)</f>
        <v>47.5</v>
      </c>
    </row>
    <row r="168" customFormat="false" ht="14.25" hidden="false" customHeight="false" outlineLevel="0" collapsed="false">
      <c r="A168" s="114"/>
      <c r="B168" s="75" t="s">
        <v>483</v>
      </c>
      <c r="C168" s="75" t="s">
        <v>870</v>
      </c>
      <c r="D168" s="77" t="n">
        <f aca="false">COUNTIFS('Données sites'!$D$2:$D$500,$A$160,'Données sites'!$E$2:$E$500,$B168,'Données sites'!$F$2:$F$500,$C168)</f>
        <v>3</v>
      </c>
      <c r="E168" s="78" t="n">
        <f aca="false">SUMIFS('Données sites'!$G$2:$G$500,'Données sites'!$D$2:$D$500,$A$160,'Données sites'!$E$2:$E$500,$B168,'Données sites'!$F$2:$F$500,$C168)</f>
        <v>135</v>
      </c>
      <c r="F168" s="78" t="n">
        <f aca="false">IFERROR(E168/D168,0)</f>
        <v>45</v>
      </c>
    </row>
    <row r="169" customFormat="false" ht="14.25" hidden="false" customHeight="false" outlineLevel="0" collapsed="false">
      <c r="A169" s="115"/>
      <c r="B169" s="66" t="s">
        <v>483</v>
      </c>
      <c r="C169" s="66" t="s">
        <v>871</v>
      </c>
      <c r="D169" s="89" t="n">
        <f aca="false">COUNTIFS('Données sites'!$D$2:$D$500,$A$160,'Données sites'!$E$2:$E$500,$B169,'Données sites'!$F$2:$F$500,$C169)</f>
        <v>4</v>
      </c>
      <c r="E169" s="90" t="n">
        <f aca="false">SUMIFS('Données sites'!$G$2:$G$500,'Données sites'!$D$2:$D$500,$A$160,'Données sites'!$E$2:$E$500,$B169,'Données sites'!$F$2:$F$500,$C169)</f>
        <v>289.6</v>
      </c>
      <c r="F169" s="90" t="n">
        <f aca="false">IFERROR(E169/D169,0)</f>
        <v>72.4</v>
      </c>
    </row>
    <row r="170" customFormat="false" ht="14.25" hidden="false" customHeight="false" outlineLevel="0" collapsed="false">
      <c r="A170" s="114"/>
      <c r="B170" s="75" t="s">
        <v>483</v>
      </c>
      <c r="C170" s="75" t="s">
        <v>872</v>
      </c>
      <c r="D170" s="77" t="n">
        <f aca="false">COUNTIFS('Données sites'!$D$2:$D$500,$A$160,'Données sites'!$E$2:$E$500,$B170,'Données sites'!$F$2:$F$500,$C170)</f>
        <v>3</v>
      </c>
      <c r="E170" s="78" t="n">
        <f aca="false">SUMIFS('Données sites'!$G$2:$G$500,'Données sites'!$D$2:$D$500,$A$160,'Données sites'!$E$2:$E$500,$B170,'Données sites'!$F$2:$F$500,$C170)</f>
        <v>189</v>
      </c>
      <c r="F170" s="78" t="n">
        <f aca="false">IFERROR(E170/D170,0)</f>
        <v>63</v>
      </c>
    </row>
    <row r="171" customFormat="false" ht="14.25" hidden="false" customHeight="false" outlineLevel="0" collapsed="false">
      <c r="A171" s="115"/>
      <c r="B171" s="66" t="s">
        <v>483</v>
      </c>
      <c r="C171" s="66" t="s">
        <v>873</v>
      </c>
      <c r="D171" s="89" t="n">
        <f aca="false">COUNTIFS('Données sites'!$D$2:$D$500,$A$160,'Données sites'!$E$2:$E$500,$B171,'Données sites'!$F$2:$F$500,$C171)</f>
        <v>2</v>
      </c>
      <c r="E171" s="90" t="n">
        <f aca="false">SUMIFS('Données sites'!$G$2:$G$500,'Données sites'!$D$2:$D$500,$A$160,'Données sites'!$E$2:$E$500,$B171,'Données sites'!$F$2:$F$500,$C171)</f>
        <v>43.2</v>
      </c>
      <c r="F171" s="90" t="n">
        <f aca="false">IFERROR(E171/D171,0)</f>
        <v>21.6</v>
      </c>
    </row>
    <row r="172" customFormat="false" ht="14.25" hidden="false" customHeight="false" outlineLevel="0" collapsed="false">
      <c r="A172" s="114"/>
      <c r="B172" s="75" t="s">
        <v>483</v>
      </c>
      <c r="C172" s="75" t="s">
        <v>874</v>
      </c>
      <c r="D172" s="77" t="n">
        <f aca="false">COUNTIFS('Données sites'!$D$2:$D$500,$A$160,'Données sites'!$E$2:$E$500,$B172,'Données sites'!$F$2:$F$500,$C172)</f>
        <v>1</v>
      </c>
      <c r="E172" s="78" t="n">
        <f aca="false">SUMIFS('Données sites'!$G$2:$G$500,'Données sites'!$D$2:$D$500,$A$160,'Données sites'!$E$2:$E$500,$B172,'Données sites'!$F$2:$F$500,$C172)</f>
        <v>80</v>
      </c>
      <c r="F172" s="78" t="n">
        <f aca="false">IFERROR(E172/D172,0)</f>
        <v>80</v>
      </c>
    </row>
    <row r="173" customFormat="false" ht="14.25" hidden="false" customHeight="false" outlineLevel="0" collapsed="false">
      <c r="A173" s="115"/>
      <c r="B173" s="66" t="s">
        <v>472</v>
      </c>
      <c r="C173" s="66" t="s">
        <v>875</v>
      </c>
      <c r="D173" s="89" t="n">
        <f aca="false">COUNTIFS('Données sites'!$D$2:$D$500,$A$160,'Données sites'!$E$2:$E$500,$B173,'Données sites'!$F$2:$F$500,$C173)</f>
        <v>1</v>
      </c>
      <c r="E173" s="90" t="n">
        <f aca="false">SUMIFS('Données sites'!$G$2:$G$500,'Données sites'!$D$2:$D$500,$A$160,'Données sites'!$E$2:$E$500,$B173,'Données sites'!$F$2:$F$500,$C173)</f>
        <v>32.4</v>
      </c>
      <c r="F173" s="90" t="n">
        <f aca="false">IFERROR(E173/D173,0)</f>
        <v>32.4</v>
      </c>
    </row>
    <row r="174" customFormat="false" ht="14.25" hidden="false" customHeight="false" outlineLevel="0" collapsed="false">
      <c r="A174" s="114"/>
      <c r="B174" s="75" t="s">
        <v>472</v>
      </c>
      <c r="C174" s="75" t="s">
        <v>876</v>
      </c>
      <c r="D174" s="77" t="n">
        <f aca="false">COUNTIFS('Données sites'!$D$2:$D$500,$A$160,'Données sites'!$E$2:$E$500,$B174,'Données sites'!$F$2:$F$500,$C174)</f>
        <v>7</v>
      </c>
      <c r="E174" s="78" t="n">
        <f aca="false">SUMIFS('Données sites'!$G$2:$G$500,'Données sites'!$D$2:$D$500,$A$160,'Données sites'!$E$2:$E$500,$B174,'Données sites'!$F$2:$F$500,$C174)</f>
        <v>412.4</v>
      </c>
      <c r="F174" s="78" t="n">
        <f aca="false">IFERROR(E174/D174,0)</f>
        <v>58.9142857142857</v>
      </c>
    </row>
    <row r="175" customFormat="false" ht="14.25" hidden="false" customHeight="false" outlineLevel="0" collapsed="false">
      <c r="A175" s="115"/>
      <c r="B175" s="66" t="s">
        <v>472</v>
      </c>
      <c r="C175" s="66" t="s">
        <v>482</v>
      </c>
      <c r="D175" s="89" t="n">
        <f aca="false">COUNTIFS('Données sites'!$D$2:$D$500,$A$160,'Données sites'!$E$2:$E$500,$B175,'Données sites'!$F$2:$F$500,$C175)</f>
        <v>2</v>
      </c>
      <c r="E175" s="90" t="n">
        <f aca="false">SUMIFS('Données sites'!$G$2:$G$500,'Données sites'!$D$2:$D$500,$A$160,'Données sites'!$E$2:$E$500,$B175,'Données sites'!$F$2:$F$500,$C175)</f>
        <v>101.6</v>
      </c>
      <c r="F175" s="90" t="n">
        <f aca="false">IFERROR(E175/D175,0)</f>
        <v>50.8</v>
      </c>
    </row>
    <row r="176" customFormat="false" ht="14.25" hidden="false" customHeight="false" outlineLevel="0" collapsed="false">
      <c r="A176" s="114"/>
      <c r="B176" s="75" t="s">
        <v>640</v>
      </c>
      <c r="C176" s="75" t="s">
        <v>877</v>
      </c>
      <c r="D176" s="77" t="n">
        <f aca="false">COUNTIFS('Données sites'!$D$2:$D$500,$A$160,'Données sites'!$E$2:$E$500,$B176,'Données sites'!$F$2:$F$500,$C176)</f>
        <v>1</v>
      </c>
      <c r="E176" s="78" t="n">
        <f aca="false">SUMIFS('Données sites'!$G$2:$G$500,'Données sites'!$D$2:$D$500,$A$160,'Données sites'!$E$2:$E$500,$B176,'Données sites'!$F$2:$F$500,$C176)</f>
        <v>54</v>
      </c>
      <c r="F176" s="78" t="n">
        <f aca="false">IFERROR(E176/D176,0)</f>
        <v>54</v>
      </c>
    </row>
    <row r="177" customFormat="false" ht="14.25" hidden="false" customHeight="false" outlineLevel="0" collapsed="false">
      <c r="A177" s="115"/>
      <c r="B177" s="66" t="s">
        <v>640</v>
      </c>
      <c r="C177" s="66" t="s">
        <v>878</v>
      </c>
      <c r="D177" s="89" t="n">
        <f aca="false">COUNTIFS('Données sites'!$D$2:$D$500,$A$160,'Données sites'!$E$2:$E$500,$B177,'Données sites'!$F$2:$F$500,$C177)</f>
        <v>2</v>
      </c>
      <c r="E177" s="90" t="n">
        <f aca="false">SUMIFS('Données sites'!$G$2:$G$500,'Données sites'!$D$2:$D$500,$A$160,'Données sites'!$E$2:$E$500,$B177,'Données sites'!$F$2:$F$500,$C177)</f>
        <v>54</v>
      </c>
      <c r="F177" s="90" t="n">
        <f aca="false">IFERROR(E177/D177,0)</f>
        <v>27</v>
      </c>
    </row>
    <row r="178" customFormat="false" ht="14.25" hidden="false" customHeight="false" outlineLevel="0" collapsed="false">
      <c r="A178" s="114"/>
      <c r="B178" s="75" t="s">
        <v>640</v>
      </c>
      <c r="C178" s="75" t="s">
        <v>879</v>
      </c>
      <c r="D178" s="77" t="n">
        <f aca="false">COUNTIFS('Données sites'!$D$2:$D$500,$A$160,'Données sites'!$E$2:$E$500,$B178,'Données sites'!$F$2:$F$500,$C178)</f>
        <v>1</v>
      </c>
      <c r="E178" s="78" t="n">
        <f aca="false">SUMIFS('Données sites'!$G$2:$G$500,'Données sites'!$D$2:$D$500,$A$160,'Données sites'!$E$2:$E$500,$B178,'Données sites'!$F$2:$F$500,$C178)</f>
        <v>54</v>
      </c>
      <c r="F178" s="78" t="n">
        <f aca="false">IFERROR(E178/D178,0)</f>
        <v>54</v>
      </c>
    </row>
    <row r="179" customFormat="false" ht="14.25" hidden="false" customHeight="false" outlineLevel="0" collapsed="false">
      <c r="A179" s="115"/>
      <c r="B179" s="66" t="s">
        <v>640</v>
      </c>
      <c r="C179" s="66" t="s">
        <v>880</v>
      </c>
      <c r="D179" s="89" t="n">
        <f aca="false">COUNTIFS('Données sites'!$D$2:$D$500,$A$160,'Données sites'!$E$2:$E$500,$B179,'Données sites'!$F$2:$F$500,$C179)</f>
        <v>2</v>
      </c>
      <c r="E179" s="90" t="n">
        <f aca="false">SUMIFS('Données sites'!$G$2:$G$500,'Données sites'!$D$2:$D$500,$A$160,'Données sites'!$E$2:$E$500,$B179,'Données sites'!$F$2:$F$500,$C179)</f>
        <v>86.4</v>
      </c>
      <c r="F179" s="90" t="n">
        <f aca="false">IFERROR(E179/D179,0)</f>
        <v>43.2</v>
      </c>
    </row>
    <row r="180" customFormat="false" ht="14.25" hidden="false" customHeight="false" outlineLevel="0" collapsed="false">
      <c r="A180" s="114"/>
      <c r="B180" s="75" t="s">
        <v>640</v>
      </c>
      <c r="C180" s="75" t="s">
        <v>881</v>
      </c>
      <c r="D180" s="77" t="n">
        <f aca="false">COUNTIFS('Données sites'!$D$2:$D$500,$A$160,'Données sites'!$E$2:$E$500,$B180,'Données sites'!$F$2:$F$500,$C180)</f>
        <v>2</v>
      </c>
      <c r="E180" s="78" t="n">
        <f aca="false">SUMIFS('Données sites'!$G$2:$G$500,'Données sites'!$D$2:$D$500,$A$160,'Données sites'!$E$2:$E$500,$B180,'Données sites'!$F$2:$F$500,$C180)</f>
        <v>134</v>
      </c>
      <c r="F180" s="78" t="n">
        <f aca="false">IFERROR(E180/D180,0)</f>
        <v>67</v>
      </c>
    </row>
    <row r="181" customFormat="false" ht="14.25" hidden="false" customHeight="false" outlineLevel="0" collapsed="false">
      <c r="A181" s="115"/>
      <c r="B181" s="66" t="s">
        <v>507</v>
      </c>
      <c r="C181" s="66" t="s">
        <v>882</v>
      </c>
      <c r="D181" s="89" t="n">
        <f aca="false">COUNTIFS('Données sites'!$D$2:$D$500,$A$160,'Données sites'!$E$2:$E$500,$B181,'Données sites'!$F$2:$F$500,$C181)</f>
        <v>1</v>
      </c>
      <c r="E181" s="90" t="n">
        <f aca="false">SUMIFS('Données sites'!$G$2:$G$500,'Données sites'!$D$2:$D$500,$A$160,'Données sites'!$E$2:$E$500,$B181,'Données sites'!$F$2:$F$500,$C181)</f>
        <v>54</v>
      </c>
      <c r="F181" s="90" t="n">
        <f aca="false">IFERROR(E181/D181,0)</f>
        <v>54</v>
      </c>
    </row>
    <row r="182" customFormat="false" ht="14.25" hidden="false" customHeight="false" outlineLevel="0" collapsed="false">
      <c r="A182" s="109" t="s">
        <v>52</v>
      </c>
      <c r="B182" s="110"/>
      <c r="C182" s="110"/>
      <c r="D182" s="111" t="n">
        <f aca="false">COUNTIFS('Données sites'!$D$2:$D$500,$A182)</f>
        <v>40</v>
      </c>
      <c r="E182" s="112" t="n">
        <f aca="false">SUMIFS('Données sites'!$G$2:$G$500,'Données sites'!$D$2:$D$500,$A182)</f>
        <v>2478.8</v>
      </c>
      <c r="F182" s="112" t="n">
        <f aca="false">IFERROR(E182/D182,0)</f>
        <v>61.97</v>
      </c>
    </row>
    <row r="183" customFormat="false" ht="14.25" hidden="false" customHeight="false" outlineLevel="0" collapsed="false">
      <c r="A183" s="115"/>
      <c r="B183" s="66" t="s">
        <v>205</v>
      </c>
      <c r="C183" s="66" t="s">
        <v>206</v>
      </c>
      <c r="D183" s="89" t="n">
        <f aca="false">COUNTIFS('Données sites'!$D$2:$D$500,$A$182,'Données sites'!$E$2:$E$500,$B183,'Données sites'!$F$2:$F$500,$C183)</f>
        <v>2</v>
      </c>
      <c r="E183" s="90" t="n">
        <f aca="false">SUMIFS('Données sites'!$G$2:$G$500,'Données sites'!$D$2:$D$500,$A$182,'Données sites'!$E$2:$E$500,$B183,'Données sites'!$F$2:$F$500,$C183)</f>
        <v>160</v>
      </c>
      <c r="F183" s="90" t="n">
        <f aca="false">IFERROR(E183/D183,0)</f>
        <v>80</v>
      </c>
    </row>
    <row r="184" customFormat="false" ht="14.25" hidden="false" customHeight="false" outlineLevel="0" collapsed="false">
      <c r="A184" s="114"/>
      <c r="B184" s="75" t="s">
        <v>205</v>
      </c>
      <c r="C184" s="75" t="s">
        <v>883</v>
      </c>
      <c r="D184" s="77" t="n">
        <f aca="false">COUNTIFS('Données sites'!$D$2:$D$500,$A$182,'Données sites'!$E$2:$E$500,$B184,'Données sites'!$F$2:$F$500,$C184)</f>
        <v>2</v>
      </c>
      <c r="E184" s="78" t="n">
        <f aca="false">SUMIFS('Données sites'!$G$2:$G$500,'Données sites'!$D$2:$D$500,$A$182,'Données sites'!$E$2:$E$500,$B184,'Données sites'!$F$2:$F$500,$C184)</f>
        <v>160</v>
      </c>
      <c r="F184" s="78" t="n">
        <f aca="false">IFERROR(E184/D184,0)</f>
        <v>80</v>
      </c>
    </row>
    <row r="185" customFormat="false" ht="14.25" hidden="false" customHeight="false" outlineLevel="0" collapsed="false">
      <c r="A185" s="115"/>
      <c r="B185" s="66" t="s">
        <v>205</v>
      </c>
      <c r="C185" s="66" t="s">
        <v>884</v>
      </c>
      <c r="D185" s="89" t="n">
        <f aca="false">COUNTIFS('Données sites'!$D$2:$D$500,$A$182,'Données sites'!$E$2:$E$500,$B185,'Données sites'!$F$2:$F$500,$C185)</f>
        <v>3</v>
      </c>
      <c r="E185" s="90" t="n">
        <f aca="false">SUMIFS('Données sites'!$G$2:$G$500,'Données sites'!$D$2:$D$500,$A$182,'Données sites'!$E$2:$E$500,$B185,'Données sites'!$F$2:$F$500,$C185)</f>
        <v>86.4</v>
      </c>
      <c r="F185" s="90" t="n">
        <f aca="false">IFERROR(E185/D185,0)</f>
        <v>28.8</v>
      </c>
    </row>
    <row r="186" customFormat="false" ht="14.25" hidden="false" customHeight="false" outlineLevel="0" collapsed="false">
      <c r="A186" s="114"/>
      <c r="B186" s="75" t="s">
        <v>205</v>
      </c>
      <c r="C186" s="75" t="s">
        <v>885</v>
      </c>
      <c r="D186" s="77" t="n">
        <f aca="false">COUNTIFS('Données sites'!$D$2:$D$500,$A$182,'Données sites'!$E$2:$E$500,$B186,'Données sites'!$F$2:$F$500,$C186)</f>
        <v>2</v>
      </c>
      <c r="E186" s="78" t="n">
        <f aca="false">SUMIFS('Données sites'!$G$2:$G$500,'Données sites'!$D$2:$D$500,$A$182,'Données sites'!$E$2:$E$500,$B186,'Données sites'!$F$2:$F$500,$C186)</f>
        <v>180</v>
      </c>
      <c r="F186" s="78" t="n">
        <f aca="false">IFERROR(E186/D186,0)</f>
        <v>90</v>
      </c>
    </row>
    <row r="187" customFormat="false" ht="14.25" hidden="false" customHeight="false" outlineLevel="0" collapsed="false">
      <c r="A187" s="115"/>
      <c r="B187" s="66" t="s">
        <v>205</v>
      </c>
      <c r="C187" s="66" t="s">
        <v>886</v>
      </c>
      <c r="D187" s="89" t="n">
        <f aca="false">COUNTIFS('Données sites'!$D$2:$D$500,$A$182,'Données sites'!$E$2:$E$500,$B187,'Données sites'!$F$2:$F$500,$C187)</f>
        <v>1</v>
      </c>
      <c r="E187" s="90" t="n">
        <f aca="false">SUMIFS('Données sites'!$G$2:$G$500,'Données sites'!$D$2:$D$500,$A$182,'Données sites'!$E$2:$E$500,$B187,'Données sites'!$F$2:$F$500,$C187)</f>
        <v>100</v>
      </c>
      <c r="F187" s="90" t="n">
        <f aca="false">IFERROR(E187/D187,0)</f>
        <v>100</v>
      </c>
    </row>
    <row r="188" customFormat="false" ht="14.25" hidden="false" customHeight="false" outlineLevel="0" collapsed="false">
      <c r="A188" s="114"/>
      <c r="B188" s="75" t="s">
        <v>205</v>
      </c>
      <c r="C188" s="75" t="s">
        <v>215</v>
      </c>
      <c r="D188" s="77" t="n">
        <f aca="false">COUNTIFS('Données sites'!$D$2:$D$500,$A$182,'Données sites'!$E$2:$E$500,$B188,'Données sites'!$F$2:$F$500,$C188)</f>
        <v>3</v>
      </c>
      <c r="E188" s="78" t="n">
        <f aca="false">SUMIFS('Données sites'!$G$2:$G$500,'Données sites'!$D$2:$D$500,$A$182,'Données sites'!$E$2:$E$500,$B188,'Données sites'!$F$2:$F$500,$C188)</f>
        <v>215</v>
      </c>
      <c r="F188" s="78" t="n">
        <f aca="false">IFERROR(E188/D188,0)</f>
        <v>71.6666666666667</v>
      </c>
    </row>
    <row r="189" customFormat="false" ht="14.25" hidden="false" customHeight="false" outlineLevel="0" collapsed="false">
      <c r="A189" s="115"/>
      <c r="B189" s="66" t="s">
        <v>188</v>
      </c>
      <c r="C189" s="66" t="s">
        <v>887</v>
      </c>
      <c r="D189" s="89" t="n">
        <f aca="false">COUNTIFS('Données sites'!$D$2:$D$500,$A$182,'Données sites'!$E$2:$E$500,$B189,'Données sites'!$F$2:$F$500,$C189)</f>
        <v>1</v>
      </c>
      <c r="E189" s="90" t="n">
        <f aca="false">SUMIFS('Données sites'!$G$2:$G$500,'Données sites'!$D$2:$D$500,$A$182,'Données sites'!$E$2:$E$500,$B189,'Données sites'!$F$2:$F$500,$C189)</f>
        <v>32.4</v>
      </c>
      <c r="F189" s="90" t="n">
        <f aca="false">IFERROR(E189/D189,0)</f>
        <v>32.4</v>
      </c>
    </row>
    <row r="190" customFormat="false" ht="14.25" hidden="false" customHeight="false" outlineLevel="0" collapsed="false">
      <c r="A190" s="114"/>
      <c r="B190" s="75" t="s">
        <v>188</v>
      </c>
      <c r="C190" s="75" t="s">
        <v>888</v>
      </c>
      <c r="D190" s="77" t="n">
        <f aca="false">COUNTIFS('Données sites'!$D$2:$D$500,$A$182,'Données sites'!$E$2:$E$500,$B190,'Données sites'!$F$2:$F$500,$C190)</f>
        <v>1</v>
      </c>
      <c r="E190" s="78" t="n">
        <f aca="false">SUMIFS('Données sites'!$G$2:$G$500,'Données sites'!$D$2:$D$500,$A$182,'Données sites'!$E$2:$E$500,$B190,'Données sites'!$F$2:$F$500,$C190)</f>
        <v>50</v>
      </c>
      <c r="F190" s="78" t="n">
        <f aca="false">IFERROR(E190/D190,0)</f>
        <v>50</v>
      </c>
    </row>
    <row r="191" customFormat="false" ht="14.25" hidden="false" customHeight="false" outlineLevel="0" collapsed="false">
      <c r="A191" s="115"/>
      <c r="B191" s="66" t="s">
        <v>188</v>
      </c>
      <c r="C191" s="66" t="s">
        <v>889</v>
      </c>
      <c r="D191" s="89" t="n">
        <f aca="false">COUNTIFS('Données sites'!$D$2:$D$500,$A$182,'Données sites'!$E$2:$E$500,$B191,'Données sites'!$F$2:$F$500,$C191)</f>
        <v>1</v>
      </c>
      <c r="E191" s="90" t="n">
        <f aca="false">SUMIFS('Données sites'!$G$2:$G$500,'Données sites'!$D$2:$D$500,$A$182,'Données sites'!$E$2:$E$500,$B191,'Données sites'!$F$2:$F$500,$C191)</f>
        <v>15</v>
      </c>
      <c r="F191" s="90" t="n">
        <f aca="false">IFERROR(E191/D191,0)</f>
        <v>15</v>
      </c>
    </row>
    <row r="192" customFormat="false" ht="14.25" hidden="false" customHeight="false" outlineLevel="0" collapsed="false">
      <c r="A192" s="114"/>
      <c r="B192" s="75" t="s">
        <v>188</v>
      </c>
      <c r="C192" s="75" t="s">
        <v>890</v>
      </c>
      <c r="D192" s="77" t="n">
        <f aca="false">COUNTIFS('Données sites'!$D$2:$D$500,$A$182,'Données sites'!$E$2:$E$500,$B192,'Données sites'!$F$2:$F$500,$C192)</f>
        <v>4</v>
      </c>
      <c r="E192" s="78" t="n">
        <f aca="false">SUMIFS('Données sites'!$G$2:$G$500,'Données sites'!$D$2:$D$500,$A$182,'Données sites'!$E$2:$E$500,$B192,'Données sites'!$F$2:$F$500,$C192)</f>
        <v>257</v>
      </c>
      <c r="F192" s="78" t="n">
        <f aca="false">IFERROR(E192/D192,0)</f>
        <v>64.25</v>
      </c>
    </row>
    <row r="193" customFormat="false" ht="14.25" hidden="false" customHeight="false" outlineLevel="0" collapsed="false">
      <c r="A193" s="115"/>
      <c r="B193" s="66" t="s">
        <v>188</v>
      </c>
      <c r="C193" s="66" t="s">
        <v>891</v>
      </c>
      <c r="D193" s="89" t="n">
        <f aca="false">COUNTIFS('Données sites'!$D$2:$D$500,$A$182,'Données sites'!$E$2:$E$500,$B193,'Données sites'!$F$2:$F$500,$C193)</f>
        <v>1</v>
      </c>
      <c r="E193" s="90" t="n">
        <f aca="false">SUMIFS('Données sites'!$G$2:$G$500,'Données sites'!$D$2:$D$500,$A$182,'Données sites'!$E$2:$E$500,$B193,'Données sites'!$F$2:$F$500,$C193)</f>
        <v>54</v>
      </c>
      <c r="F193" s="90" t="n">
        <f aca="false">IFERROR(E193/D193,0)</f>
        <v>54</v>
      </c>
    </row>
    <row r="194" customFormat="false" ht="14.25" hidden="false" customHeight="false" outlineLevel="0" collapsed="false">
      <c r="A194" s="114"/>
      <c r="B194" s="75" t="s">
        <v>173</v>
      </c>
      <c r="C194" s="75" t="s">
        <v>892</v>
      </c>
      <c r="D194" s="77" t="n">
        <f aca="false">COUNTIFS('Données sites'!$D$2:$D$500,$A$182,'Données sites'!$E$2:$E$500,$B194,'Données sites'!$F$2:$F$500,$C194)</f>
        <v>1</v>
      </c>
      <c r="E194" s="78" t="n">
        <f aca="false">SUMIFS('Données sites'!$G$2:$G$500,'Données sites'!$D$2:$D$500,$A$182,'Données sites'!$E$2:$E$500,$B194,'Données sites'!$F$2:$F$500,$C194)</f>
        <v>21.6</v>
      </c>
      <c r="F194" s="78" t="n">
        <f aca="false">IFERROR(E194/D194,0)</f>
        <v>21.6</v>
      </c>
    </row>
    <row r="195" customFormat="false" ht="14.25" hidden="false" customHeight="false" outlineLevel="0" collapsed="false">
      <c r="A195" s="115"/>
      <c r="B195" s="66" t="s">
        <v>173</v>
      </c>
      <c r="C195" s="66" t="s">
        <v>893</v>
      </c>
      <c r="D195" s="89" t="n">
        <f aca="false">COUNTIFS('Données sites'!$D$2:$D$500,$A$182,'Données sites'!$E$2:$E$500,$B195,'Données sites'!$F$2:$F$500,$C195)</f>
        <v>2</v>
      </c>
      <c r="E195" s="90" t="n">
        <f aca="false">SUMIFS('Données sites'!$G$2:$G$500,'Données sites'!$D$2:$D$500,$A$182,'Données sites'!$E$2:$E$500,$B195,'Données sites'!$F$2:$F$500,$C195)</f>
        <v>161</v>
      </c>
      <c r="F195" s="90" t="n">
        <f aca="false">IFERROR(E195/D195,0)</f>
        <v>80.5</v>
      </c>
    </row>
    <row r="196" customFormat="false" ht="14.25" hidden="false" customHeight="false" outlineLevel="0" collapsed="false">
      <c r="A196" s="114"/>
      <c r="B196" s="75" t="s">
        <v>173</v>
      </c>
      <c r="C196" s="75" t="s">
        <v>179</v>
      </c>
      <c r="D196" s="77" t="n">
        <f aca="false">COUNTIFS('Données sites'!$D$2:$D$500,$A$182,'Données sites'!$E$2:$E$500,$B196,'Données sites'!$F$2:$F$500,$C196)</f>
        <v>1</v>
      </c>
      <c r="E196" s="78" t="n">
        <f aca="false">SUMIFS('Données sites'!$G$2:$G$500,'Données sites'!$D$2:$D$500,$A$182,'Données sites'!$E$2:$E$500,$B196,'Données sites'!$F$2:$F$500,$C196)</f>
        <v>100</v>
      </c>
      <c r="F196" s="78" t="n">
        <f aca="false">IFERROR(E196/D196,0)</f>
        <v>100</v>
      </c>
    </row>
    <row r="197" customFormat="false" ht="14.25" hidden="false" customHeight="false" outlineLevel="0" collapsed="false">
      <c r="A197" s="115"/>
      <c r="B197" s="66" t="s">
        <v>173</v>
      </c>
      <c r="C197" s="66" t="s">
        <v>894</v>
      </c>
      <c r="D197" s="89" t="n">
        <f aca="false">COUNTIFS('Données sites'!$D$2:$D$500,$A$182,'Données sites'!$E$2:$E$500,$B197,'Données sites'!$F$2:$F$500,$C197)</f>
        <v>2</v>
      </c>
      <c r="E197" s="90" t="n">
        <f aca="false">SUMIFS('Données sites'!$G$2:$G$500,'Données sites'!$D$2:$D$500,$A$182,'Données sites'!$E$2:$E$500,$B197,'Données sites'!$F$2:$F$500,$C197)</f>
        <v>43.2</v>
      </c>
      <c r="F197" s="90" t="n">
        <f aca="false">IFERROR(E197/D197,0)</f>
        <v>21.6</v>
      </c>
    </row>
    <row r="198" customFormat="false" ht="14.25" hidden="false" customHeight="false" outlineLevel="0" collapsed="false">
      <c r="A198" s="114"/>
      <c r="B198" s="75" t="s">
        <v>173</v>
      </c>
      <c r="C198" s="75" t="s">
        <v>895</v>
      </c>
      <c r="D198" s="77" t="n">
        <f aca="false">COUNTIFS('Données sites'!$D$2:$D$500,$A$182,'Données sites'!$E$2:$E$500,$B198,'Données sites'!$F$2:$F$500,$C198)</f>
        <v>1</v>
      </c>
      <c r="E198" s="78" t="n">
        <f aca="false">SUMIFS('Données sites'!$G$2:$G$500,'Données sites'!$D$2:$D$500,$A$182,'Données sites'!$E$2:$E$500,$B198,'Données sites'!$F$2:$F$500,$C198)</f>
        <v>54</v>
      </c>
      <c r="F198" s="78" t="n">
        <f aca="false">IFERROR(E198/D198,0)</f>
        <v>54</v>
      </c>
    </row>
    <row r="199" customFormat="false" ht="14.25" hidden="false" customHeight="false" outlineLevel="0" collapsed="false">
      <c r="A199" s="115"/>
      <c r="B199" s="66" t="s">
        <v>183</v>
      </c>
      <c r="C199" s="66" t="s">
        <v>896</v>
      </c>
      <c r="D199" s="89" t="n">
        <f aca="false">COUNTIFS('Données sites'!$D$2:$D$500,$A$182,'Données sites'!$E$2:$E$500,$B199,'Données sites'!$F$2:$F$500,$C199)</f>
        <v>2</v>
      </c>
      <c r="E199" s="90" t="n">
        <f aca="false">SUMIFS('Données sites'!$G$2:$G$500,'Données sites'!$D$2:$D$500,$A$182,'Données sites'!$E$2:$E$500,$B199,'Données sites'!$F$2:$F$500,$C199)</f>
        <v>162</v>
      </c>
      <c r="F199" s="90" t="n">
        <f aca="false">IFERROR(E199/D199,0)</f>
        <v>81</v>
      </c>
    </row>
    <row r="200" customFormat="false" ht="14.25" hidden="false" customHeight="false" outlineLevel="0" collapsed="false">
      <c r="A200" s="114"/>
      <c r="B200" s="75" t="s">
        <v>183</v>
      </c>
      <c r="C200" s="75" t="s">
        <v>897</v>
      </c>
      <c r="D200" s="77" t="n">
        <f aca="false">COUNTIFS('Données sites'!$D$2:$D$500,$A$182,'Données sites'!$E$2:$E$500,$B200,'Données sites'!$F$2:$F$500,$C200)</f>
        <v>1</v>
      </c>
      <c r="E200" s="78" t="n">
        <f aca="false">SUMIFS('Données sites'!$G$2:$G$500,'Données sites'!$D$2:$D$500,$A$182,'Données sites'!$E$2:$E$500,$B200,'Données sites'!$F$2:$F$500,$C200)</f>
        <v>32.4</v>
      </c>
      <c r="F200" s="78" t="n">
        <f aca="false">IFERROR(E200/D200,0)</f>
        <v>32.4</v>
      </c>
    </row>
    <row r="201" customFormat="false" ht="14.25" hidden="false" customHeight="false" outlineLevel="0" collapsed="false">
      <c r="A201" s="115"/>
      <c r="B201" s="66" t="s">
        <v>183</v>
      </c>
      <c r="C201" s="66" t="s">
        <v>898</v>
      </c>
      <c r="D201" s="89" t="n">
        <f aca="false">COUNTIFS('Données sites'!$D$2:$D$500,$A$182,'Données sites'!$E$2:$E$500,$B201,'Données sites'!$F$2:$F$500,$C201)</f>
        <v>1</v>
      </c>
      <c r="E201" s="90" t="n">
        <f aca="false">SUMIFS('Données sites'!$G$2:$G$500,'Données sites'!$D$2:$D$500,$A$182,'Données sites'!$E$2:$E$500,$B201,'Données sites'!$F$2:$F$500,$C201)</f>
        <v>140.4</v>
      </c>
      <c r="F201" s="90" t="n">
        <f aca="false">IFERROR(E201/D201,0)</f>
        <v>140.4</v>
      </c>
    </row>
    <row r="202" customFormat="false" ht="14.25" hidden="false" customHeight="false" outlineLevel="0" collapsed="false">
      <c r="A202" s="114"/>
      <c r="B202" s="75" t="s">
        <v>198</v>
      </c>
      <c r="C202" s="75" t="s">
        <v>899</v>
      </c>
      <c r="D202" s="77" t="n">
        <f aca="false">COUNTIFS('Données sites'!$D$2:$D$500,$A$182,'Données sites'!$E$2:$E$500,$B202,'Données sites'!$F$2:$F$500,$C202)</f>
        <v>1</v>
      </c>
      <c r="E202" s="78" t="n">
        <f aca="false">SUMIFS('Données sites'!$G$2:$G$500,'Données sites'!$D$2:$D$500,$A$182,'Données sites'!$E$2:$E$500,$B202,'Données sites'!$F$2:$F$500,$C202)</f>
        <v>81</v>
      </c>
      <c r="F202" s="78" t="n">
        <f aca="false">IFERROR(E202/D202,0)</f>
        <v>81</v>
      </c>
    </row>
    <row r="203" customFormat="false" ht="14.25" hidden="false" customHeight="false" outlineLevel="0" collapsed="false">
      <c r="A203" s="115"/>
      <c r="B203" s="66" t="s">
        <v>198</v>
      </c>
      <c r="C203" s="66" t="s">
        <v>900</v>
      </c>
      <c r="D203" s="89" t="n">
        <f aca="false">COUNTIFS('Données sites'!$D$2:$D$500,$A$182,'Données sites'!$E$2:$E$500,$B203,'Données sites'!$F$2:$F$500,$C203)</f>
        <v>2</v>
      </c>
      <c r="E203" s="90" t="n">
        <f aca="false">SUMIFS('Données sites'!$G$2:$G$500,'Données sites'!$D$2:$D$500,$A$182,'Données sites'!$E$2:$E$500,$B203,'Données sites'!$F$2:$F$500,$C203)</f>
        <v>135</v>
      </c>
      <c r="F203" s="90" t="n">
        <f aca="false">IFERROR(E203/D203,0)</f>
        <v>67.5</v>
      </c>
    </row>
    <row r="204" customFormat="false" ht="14.25" hidden="false" customHeight="false" outlineLevel="0" collapsed="false">
      <c r="A204" s="114"/>
      <c r="B204" s="75" t="s">
        <v>219</v>
      </c>
      <c r="C204" s="75" t="s">
        <v>221</v>
      </c>
      <c r="D204" s="77" t="n">
        <f aca="false">COUNTIFS('Données sites'!$D$2:$D$500,$A$182,'Données sites'!$E$2:$E$500,$B204,'Données sites'!$F$2:$F$500,$C204)</f>
        <v>1</v>
      </c>
      <c r="E204" s="78" t="n">
        <f aca="false">SUMIFS('Données sites'!$G$2:$G$500,'Données sites'!$D$2:$D$500,$A$182,'Données sites'!$E$2:$E$500,$B204,'Données sites'!$F$2:$F$500,$C204)</f>
        <v>30</v>
      </c>
      <c r="F204" s="78" t="n">
        <f aca="false">IFERROR(E204/D204,0)</f>
        <v>30</v>
      </c>
    </row>
    <row r="205" customFormat="false" ht="14.25" hidden="false" customHeight="false" outlineLevel="0" collapsed="false">
      <c r="A205" s="115"/>
      <c r="B205" s="66" t="s">
        <v>219</v>
      </c>
      <c r="C205" s="66" t="s">
        <v>901</v>
      </c>
      <c r="D205" s="89" t="n">
        <f aca="false">COUNTIFS('Données sites'!$D$2:$D$500,$A$182,'Données sites'!$E$2:$E$500,$B205,'Données sites'!$F$2:$F$500,$C205)</f>
        <v>2</v>
      </c>
      <c r="E205" s="90" t="n">
        <f aca="false">SUMIFS('Données sites'!$G$2:$G$500,'Données sites'!$D$2:$D$500,$A$182,'Données sites'!$E$2:$E$500,$B205,'Données sites'!$F$2:$F$500,$C205)</f>
        <v>95</v>
      </c>
      <c r="F205" s="90" t="n">
        <f aca="false">IFERROR(E205/D205,0)</f>
        <v>47.5</v>
      </c>
    </row>
    <row r="206" customFormat="false" ht="14.25" hidden="false" customHeight="false" outlineLevel="0" collapsed="false">
      <c r="A206" s="114"/>
      <c r="B206" s="75" t="s">
        <v>202</v>
      </c>
      <c r="C206" s="75" t="s">
        <v>902</v>
      </c>
      <c r="D206" s="77" t="n">
        <f aca="false">COUNTIFS('Données sites'!$D$2:$D$500,$A$182,'Données sites'!$E$2:$E$500,$B206,'Données sites'!$F$2:$F$500,$C206)</f>
        <v>1</v>
      </c>
      <c r="E206" s="78" t="n">
        <f aca="false">SUMIFS('Données sites'!$G$2:$G$500,'Données sites'!$D$2:$D$500,$A$182,'Données sites'!$E$2:$E$500,$B206,'Données sites'!$F$2:$F$500,$C206)</f>
        <v>81</v>
      </c>
      <c r="F206" s="78" t="n">
        <f aca="false">IFERROR(E206/D206,0)</f>
        <v>81</v>
      </c>
    </row>
    <row r="207" customFormat="false" ht="14.25" hidden="false" customHeight="false" outlineLevel="0" collapsed="false">
      <c r="A207" s="115"/>
      <c r="B207" s="66" t="s">
        <v>202</v>
      </c>
      <c r="C207" s="66" t="s">
        <v>903</v>
      </c>
      <c r="D207" s="89" t="n">
        <f aca="false">COUNTIFS('Données sites'!$D$2:$D$500,$A$182,'Données sites'!$E$2:$E$500,$B207,'Données sites'!$F$2:$F$500,$C207)</f>
        <v>1</v>
      </c>
      <c r="E207" s="90" t="n">
        <f aca="false">SUMIFS('Données sites'!$G$2:$G$500,'Données sites'!$D$2:$D$500,$A$182,'Données sites'!$E$2:$E$500,$B207,'Données sites'!$F$2:$F$500,$C207)</f>
        <v>32.4</v>
      </c>
      <c r="F207" s="90" t="n">
        <f aca="false">IFERROR(E207/D207,0)</f>
        <v>32.4</v>
      </c>
    </row>
    <row r="208" customFormat="false" ht="14.25" hidden="false" customHeight="false" outlineLevel="0" collapsed="false">
      <c r="A208" s="109" t="s">
        <v>223</v>
      </c>
      <c r="B208" s="110"/>
      <c r="C208" s="110"/>
      <c r="D208" s="111" t="n">
        <f aca="false">COUNTIFS('Données sites'!$D$2:$D$500,$A208)</f>
        <v>39</v>
      </c>
      <c r="E208" s="112" t="n">
        <f aca="false">SUMIFS('Données sites'!$G$2:$G$500,'Données sites'!$D$2:$D$500,$A208)</f>
        <v>2755.8</v>
      </c>
      <c r="F208" s="112" t="n">
        <f aca="false">IFERROR(E208/D208,0)</f>
        <v>70.6615384615385</v>
      </c>
    </row>
    <row r="209" customFormat="false" ht="14.25" hidden="false" customHeight="false" outlineLevel="0" collapsed="false">
      <c r="A209" s="115"/>
      <c r="B209" s="66" t="s">
        <v>243</v>
      </c>
      <c r="C209" s="66" t="s">
        <v>904</v>
      </c>
      <c r="D209" s="89" t="n">
        <f aca="false">COUNTIFS('Données sites'!$D$2:$D$500,$A$208,'Données sites'!$E$2:$E$500,$B209,'Données sites'!$F$2:$F$500,$C209)</f>
        <v>2</v>
      </c>
      <c r="E209" s="90" t="n">
        <f aca="false">SUMIFS('Données sites'!$G$2:$G$500,'Données sites'!$D$2:$D$500,$A$208,'Données sites'!$E$2:$E$500,$B209,'Données sites'!$F$2:$F$500,$C209)</f>
        <v>135</v>
      </c>
      <c r="F209" s="90" t="n">
        <f aca="false">IFERROR(E209/D209,0)</f>
        <v>67.5</v>
      </c>
    </row>
    <row r="210" customFormat="false" ht="14.25" hidden="false" customHeight="false" outlineLevel="0" collapsed="false">
      <c r="A210" s="114"/>
      <c r="B210" s="75" t="s">
        <v>243</v>
      </c>
      <c r="C210" s="75" t="s">
        <v>905</v>
      </c>
      <c r="D210" s="77" t="n">
        <f aca="false">COUNTIFS('Données sites'!$D$2:$D$500,$A$208,'Données sites'!$E$2:$E$500,$B210,'Données sites'!$F$2:$F$500,$C210)</f>
        <v>8</v>
      </c>
      <c r="E210" s="78" t="n">
        <f aca="false">SUMIFS('Données sites'!$G$2:$G$500,'Données sites'!$D$2:$D$500,$A$208,'Données sites'!$E$2:$E$500,$B210,'Données sites'!$F$2:$F$500,$C210)</f>
        <v>548.8</v>
      </c>
      <c r="F210" s="78" t="n">
        <f aca="false">IFERROR(E210/D210,0)</f>
        <v>68.6</v>
      </c>
    </row>
    <row r="211" customFormat="false" ht="14.25" hidden="false" customHeight="false" outlineLevel="0" collapsed="false">
      <c r="A211" s="115"/>
      <c r="B211" s="66" t="s">
        <v>243</v>
      </c>
      <c r="C211" s="66" t="s">
        <v>906</v>
      </c>
      <c r="D211" s="89" t="n">
        <f aca="false">COUNTIFS('Données sites'!$D$2:$D$500,$A$208,'Données sites'!$E$2:$E$500,$B211,'Données sites'!$F$2:$F$500,$C211)</f>
        <v>5</v>
      </c>
      <c r="E211" s="90" t="n">
        <f aca="false">SUMIFS('Données sites'!$G$2:$G$500,'Données sites'!$D$2:$D$500,$A$208,'Données sites'!$E$2:$E$500,$B211,'Données sites'!$F$2:$F$500,$C211)</f>
        <v>486</v>
      </c>
      <c r="F211" s="90" t="n">
        <f aca="false">IFERROR(E211/D211,0)</f>
        <v>97.2</v>
      </c>
    </row>
    <row r="212" customFormat="false" ht="14.25" hidden="false" customHeight="false" outlineLevel="0" collapsed="false">
      <c r="A212" s="114"/>
      <c r="B212" s="75" t="s">
        <v>243</v>
      </c>
      <c r="C212" s="75" t="s">
        <v>907</v>
      </c>
      <c r="D212" s="77" t="n">
        <f aca="false">COUNTIFS('Données sites'!$D$2:$D$500,$A$208,'Données sites'!$E$2:$E$500,$B212,'Données sites'!$F$2:$F$500,$C212)</f>
        <v>7</v>
      </c>
      <c r="E212" s="78" t="n">
        <f aca="false">SUMIFS('Données sites'!$G$2:$G$500,'Données sites'!$D$2:$D$500,$A$208,'Données sites'!$E$2:$E$500,$B212,'Données sites'!$F$2:$F$500,$C212)</f>
        <v>602.4</v>
      </c>
      <c r="F212" s="78" t="n">
        <f aca="false">IFERROR(E212/D212,0)</f>
        <v>86.0571428571429</v>
      </c>
    </row>
    <row r="213" customFormat="false" ht="14.25" hidden="false" customHeight="false" outlineLevel="0" collapsed="false">
      <c r="A213" s="115"/>
      <c r="B213" s="66" t="s">
        <v>243</v>
      </c>
      <c r="C213" s="66" t="s">
        <v>908</v>
      </c>
      <c r="D213" s="89" t="n">
        <f aca="false">COUNTIFS('Données sites'!$D$2:$D$500,$A$208,'Données sites'!$E$2:$E$500,$B213,'Données sites'!$F$2:$F$500,$C213)</f>
        <v>3</v>
      </c>
      <c r="E213" s="90" t="n">
        <f aca="false">SUMIFS('Données sites'!$G$2:$G$500,'Données sites'!$D$2:$D$500,$A$208,'Données sites'!$E$2:$E$500,$B213,'Données sites'!$F$2:$F$500,$C213)</f>
        <v>243</v>
      </c>
      <c r="F213" s="90" t="n">
        <f aca="false">IFERROR(E213/D213,0)</f>
        <v>81</v>
      </c>
    </row>
    <row r="214" customFormat="false" ht="14.25" hidden="false" customHeight="false" outlineLevel="0" collapsed="false">
      <c r="A214" s="114"/>
      <c r="B214" s="75" t="s">
        <v>234</v>
      </c>
      <c r="C214" s="75" t="s">
        <v>909</v>
      </c>
      <c r="D214" s="77" t="n">
        <f aca="false">COUNTIFS('Données sites'!$D$2:$D$500,$A$208,'Données sites'!$E$2:$E$500,$B214,'Données sites'!$F$2:$F$500,$C214)</f>
        <v>1</v>
      </c>
      <c r="E214" s="78" t="n">
        <f aca="false">SUMIFS('Données sites'!$G$2:$G$500,'Données sites'!$D$2:$D$500,$A$208,'Données sites'!$E$2:$E$500,$B214,'Données sites'!$F$2:$F$500,$C214)</f>
        <v>21.6</v>
      </c>
      <c r="F214" s="78" t="n">
        <f aca="false">IFERROR(E214/D214,0)</f>
        <v>21.6</v>
      </c>
    </row>
    <row r="215" customFormat="false" ht="14.25" hidden="false" customHeight="false" outlineLevel="0" collapsed="false">
      <c r="A215" s="115"/>
      <c r="B215" s="66" t="s">
        <v>234</v>
      </c>
      <c r="C215" s="66" t="s">
        <v>910</v>
      </c>
      <c r="D215" s="89" t="n">
        <f aca="false">COUNTIFS('Données sites'!$D$2:$D$500,$A$208,'Données sites'!$E$2:$E$500,$B215,'Données sites'!$F$2:$F$500,$C215)</f>
        <v>1</v>
      </c>
      <c r="E215" s="90" t="n">
        <f aca="false">SUMIFS('Données sites'!$G$2:$G$500,'Données sites'!$D$2:$D$500,$A$208,'Données sites'!$E$2:$E$500,$B215,'Données sites'!$F$2:$F$500,$C215)</f>
        <v>50</v>
      </c>
      <c r="F215" s="90" t="n">
        <f aca="false">IFERROR(E215/D215,0)</f>
        <v>50</v>
      </c>
    </row>
    <row r="216" customFormat="false" ht="14.25" hidden="false" customHeight="false" outlineLevel="0" collapsed="false">
      <c r="A216" s="114"/>
      <c r="B216" s="75" t="s">
        <v>234</v>
      </c>
      <c r="C216" s="75" t="s">
        <v>911</v>
      </c>
      <c r="D216" s="77" t="n">
        <f aca="false">COUNTIFS('Données sites'!$D$2:$D$500,$A$208,'Données sites'!$E$2:$E$500,$B216,'Données sites'!$F$2:$F$500,$C216)</f>
        <v>1</v>
      </c>
      <c r="E216" s="78" t="n">
        <f aca="false">SUMIFS('Données sites'!$G$2:$G$500,'Données sites'!$D$2:$D$500,$A$208,'Données sites'!$E$2:$E$500,$B216,'Données sites'!$F$2:$F$500,$C216)</f>
        <v>54</v>
      </c>
      <c r="F216" s="78" t="n">
        <f aca="false">IFERROR(E216/D216,0)</f>
        <v>54</v>
      </c>
    </row>
    <row r="217" customFormat="false" ht="14.25" hidden="false" customHeight="false" outlineLevel="0" collapsed="false">
      <c r="A217" s="115"/>
      <c r="B217" s="66" t="s">
        <v>234</v>
      </c>
      <c r="C217" s="66" t="s">
        <v>912</v>
      </c>
      <c r="D217" s="89" t="n">
        <f aca="false">COUNTIFS('Données sites'!$D$2:$D$500,$A$208,'Données sites'!$E$2:$E$500,$B217,'Données sites'!$F$2:$F$500,$C217)</f>
        <v>1</v>
      </c>
      <c r="E217" s="90" t="n">
        <f aca="false">SUMIFS('Données sites'!$G$2:$G$500,'Données sites'!$D$2:$D$500,$A$208,'Données sites'!$E$2:$E$500,$B217,'Données sites'!$F$2:$F$500,$C217)</f>
        <v>54</v>
      </c>
      <c r="F217" s="90" t="n">
        <f aca="false">IFERROR(E217/D217,0)</f>
        <v>54</v>
      </c>
    </row>
    <row r="218" customFormat="false" ht="14.25" hidden="false" customHeight="false" outlineLevel="0" collapsed="false">
      <c r="A218" s="114"/>
      <c r="B218" s="75" t="s">
        <v>234</v>
      </c>
      <c r="C218" s="75" t="s">
        <v>913</v>
      </c>
      <c r="D218" s="77" t="n">
        <f aca="false">COUNTIFS('Données sites'!$D$2:$D$500,$A$208,'Données sites'!$E$2:$E$500,$B218,'Données sites'!$F$2:$F$500,$C218)</f>
        <v>1</v>
      </c>
      <c r="E218" s="78" t="n">
        <f aca="false">SUMIFS('Données sites'!$G$2:$G$500,'Données sites'!$D$2:$D$500,$A$208,'Données sites'!$E$2:$E$500,$B218,'Données sites'!$F$2:$F$500,$C218)</f>
        <v>54</v>
      </c>
      <c r="F218" s="78" t="n">
        <f aca="false">IFERROR(E218/D218,0)</f>
        <v>54</v>
      </c>
    </row>
    <row r="219" customFormat="false" ht="14.25" hidden="false" customHeight="false" outlineLevel="0" collapsed="false">
      <c r="A219" s="115"/>
      <c r="B219" s="66" t="s">
        <v>234</v>
      </c>
      <c r="C219" s="66" t="s">
        <v>914</v>
      </c>
      <c r="D219" s="89" t="n">
        <f aca="false">COUNTIFS('Données sites'!$D$2:$D$500,$A$208,'Données sites'!$E$2:$E$500,$B219,'Données sites'!$F$2:$F$500,$C219)</f>
        <v>1</v>
      </c>
      <c r="E219" s="90" t="n">
        <f aca="false">SUMIFS('Données sites'!$G$2:$G$500,'Données sites'!$D$2:$D$500,$A$208,'Données sites'!$E$2:$E$500,$B219,'Données sites'!$F$2:$F$500,$C219)</f>
        <v>54</v>
      </c>
      <c r="F219" s="90" t="n">
        <f aca="false">IFERROR(E219/D219,0)</f>
        <v>54</v>
      </c>
    </row>
    <row r="220" customFormat="false" ht="14.25" hidden="false" customHeight="false" outlineLevel="0" collapsed="false">
      <c r="A220" s="114"/>
      <c r="B220" s="75" t="s">
        <v>224</v>
      </c>
      <c r="C220" s="75" t="s">
        <v>915</v>
      </c>
      <c r="D220" s="77" t="n">
        <f aca="false">COUNTIFS('Données sites'!$D$2:$D$500,$A$208,'Données sites'!$E$2:$E$500,$B220,'Données sites'!$F$2:$F$500,$C220)</f>
        <v>1</v>
      </c>
      <c r="E220" s="78" t="n">
        <f aca="false">SUMIFS('Données sites'!$G$2:$G$500,'Données sites'!$D$2:$D$500,$A$208,'Données sites'!$E$2:$E$500,$B220,'Données sites'!$F$2:$F$500,$C220)</f>
        <v>32.4</v>
      </c>
      <c r="F220" s="78" t="n">
        <f aca="false">IFERROR(E220/D220,0)</f>
        <v>32.4</v>
      </c>
    </row>
    <row r="221" customFormat="false" ht="14.25" hidden="false" customHeight="false" outlineLevel="0" collapsed="false">
      <c r="A221" s="115"/>
      <c r="B221" s="66" t="s">
        <v>224</v>
      </c>
      <c r="C221" s="66" t="s">
        <v>916</v>
      </c>
      <c r="D221" s="89" t="n">
        <f aca="false">COUNTIFS('Données sites'!$D$2:$D$500,$A$208,'Données sites'!$E$2:$E$500,$B221,'Données sites'!$F$2:$F$500,$C221)</f>
        <v>2</v>
      </c>
      <c r="E221" s="90" t="n">
        <f aca="false">SUMIFS('Données sites'!$G$2:$G$500,'Données sites'!$D$2:$D$500,$A$208,'Données sites'!$E$2:$E$500,$B221,'Données sites'!$F$2:$F$500,$C221)</f>
        <v>108</v>
      </c>
      <c r="F221" s="90" t="n">
        <f aca="false">IFERROR(E221/D221,0)</f>
        <v>54</v>
      </c>
    </row>
    <row r="222" customFormat="false" ht="14.25" hidden="false" customHeight="false" outlineLevel="0" collapsed="false">
      <c r="A222" s="114"/>
      <c r="B222" s="75" t="s">
        <v>224</v>
      </c>
      <c r="C222" s="75" t="s">
        <v>917</v>
      </c>
      <c r="D222" s="77" t="n">
        <f aca="false">COUNTIFS('Données sites'!$D$2:$D$500,$A$208,'Données sites'!$E$2:$E$500,$B222,'Données sites'!$F$2:$F$500,$C222)</f>
        <v>1</v>
      </c>
      <c r="E222" s="78" t="n">
        <f aca="false">SUMIFS('Données sites'!$G$2:$G$500,'Données sites'!$D$2:$D$500,$A$208,'Données sites'!$E$2:$E$500,$B222,'Données sites'!$F$2:$F$500,$C222)</f>
        <v>50</v>
      </c>
      <c r="F222" s="78" t="n">
        <f aca="false">IFERROR(E222/D222,0)</f>
        <v>50</v>
      </c>
    </row>
    <row r="223" customFormat="false" ht="14.25" hidden="false" customHeight="false" outlineLevel="0" collapsed="false">
      <c r="A223" s="115"/>
      <c r="B223" s="66" t="s">
        <v>229</v>
      </c>
      <c r="C223" s="66" t="s">
        <v>918</v>
      </c>
      <c r="D223" s="89" t="n">
        <f aca="false">COUNTIFS('Données sites'!$D$2:$D$500,$A$208,'Données sites'!$E$2:$E$500,$B223,'Données sites'!$F$2:$F$500,$C223)</f>
        <v>1</v>
      </c>
      <c r="E223" s="90" t="n">
        <f aca="false">SUMIFS('Données sites'!$G$2:$G$500,'Données sites'!$D$2:$D$500,$A$208,'Données sites'!$E$2:$E$500,$B223,'Données sites'!$F$2:$F$500,$C223)</f>
        <v>80</v>
      </c>
      <c r="F223" s="90" t="n">
        <f aca="false">IFERROR(E223/D223,0)</f>
        <v>80</v>
      </c>
    </row>
    <row r="224" customFormat="false" ht="14.25" hidden="false" customHeight="false" outlineLevel="0" collapsed="false">
      <c r="A224" s="114"/>
      <c r="B224" s="75" t="s">
        <v>229</v>
      </c>
      <c r="C224" s="75" t="s">
        <v>919</v>
      </c>
      <c r="D224" s="77" t="n">
        <f aca="false">COUNTIFS('Données sites'!$D$2:$D$500,$A$208,'Données sites'!$E$2:$E$500,$B224,'Données sites'!$F$2:$F$500,$C224)</f>
        <v>1</v>
      </c>
      <c r="E224" s="78" t="n">
        <f aca="false">SUMIFS('Données sites'!$G$2:$G$500,'Données sites'!$D$2:$D$500,$A$208,'Données sites'!$E$2:$E$500,$B224,'Données sites'!$F$2:$F$500,$C224)</f>
        <v>81</v>
      </c>
      <c r="F224" s="78" t="n">
        <f aca="false">IFERROR(E224/D224,0)</f>
        <v>81</v>
      </c>
    </row>
    <row r="225" customFormat="false" ht="14.25" hidden="false" customHeight="false" outlineLevel="0" collapsed="false">
      <c r="A225" s="115"/>
      <c r="B225" s="66" t="s">
        <v>232</v>
      </c>
      <c r="C225" s="66" t="s">
        <v>920</v>
      </c>
      <c r="D225" s="89" t="n">
        <f aca="false">COUNTIFS('Données sites'!$D$2:$D$500,$A$208,'Données sites'!$E$2:$E$500,$B225,'Données sites'!$F$2:$F$500,$C225)</f>
        <v>1</v>
      </c>
      <c r="E225" s="90" t="n">
        <f aca="false">SUMIFS('Données sites'!$G$2:$G$500,'Données sites'!$D$2:$D$500,$A$208,'Données sites'!$E$2:$E$500,$B225,'Données sites'!$F$2:$F$500,$C225)</f>
        <v>21.6</v>
      </c>
      <c r="F225" s="90" t="n">
        <f aca="false">IFERROR(E225/D225,0)</f>
        <v>21.6</v>
      </c>
    </row>
    <row r="226" customFormat="false" ht="14.25" hidden="false" customHeight="false" outlineLevel="0" collapsed="false">
      <c r="A226" s="114"/>
      <c r="B226" s="75" t="s">
        <v>241</v>
      </c>
      <c r="C226" s="75" t="s">
        <v>921</v>
      </c>
      <c r="D226" s="77" t="n">
        <f aca="false">COUNTIFS('Données sites'!$D$2:$D$500,$A$208,'Données sites'!$E$2:$E$500,$B226,'Données sites'!$F$2:$F$500,$C226)</f>
        <v>1</v>
      </c>
      <c r="E226" s="78" t="n">
        <f aca="false">SUMIFS('Données sites'!$G$2:$G$500,'Données sites'!$D$2:$D$500,$A$208,'Données sites'!$E$2:$E$500,$B226,'Données sites'!$F$2:$F$500,$C226)</f>
        <v>80</v>
      </c>
      <c r="F226" s="78" t="n">
        <f aca="false">IFERROR(E226/D226,0)</f>
        <v>80</v>
      </c>
    </row>
    <row r="227" customFormat="false" ht="14.25" hidden="false" customHeight="false" outlineLevel="0" collapsed="false">
      <c r="A227" s="109" t="s">
        <v>33</v>
      </c>
      <c r="B227" s="110"/>
      <c r="C227" s="110"/>
      <c r="D227" s="111" t="n">
        <f aca="false">COUNTIFS('Données sites'!$D$2:$D$500,$A227)</f>
        <v>34</v>
      </c>
      <c r="E227" s="112" t="n">
        <f aca="false">SUMIFS('Données sites'!$G$2:$G$500,'Données sites'!$D$2:$D$500,$A227)</f>
        <v>3110.4</v>
      </c>
      <c r="F227" s="112" t="n">
        <f aca="false">IFERROR(E227/D227,0)</f>
        <v>91.4823529411765</v>
      </c>
    </row>
    <row r="228" customFormat="false" ht="14.25" hidden="false" customHeight="false" outlineLevel="0" collapsed="false">
      <c r="A228" s="114"/>
      <c r="B228" s="75" t="s">
        <v>547</v>
      </c>
      <c r="C228" s="75" t="s">
        <v>922</v>
      </c>
      <c r="D228" s="77" t="n">
        <f aca="false">COUNTIFS('Données sites'!$D$2:$D$500,$A$227,'Données sites'!$E$2:$E$500,$B228,'Données sites'!$F$2:$F$500,$C228)</f>
        <v>1</v>
      </c>
      <c r="E228" s="78" t="n">
        <f aca="false">SUMIFS('Données sites'!$G$2:$G$500,'Données sites'!$D$2:$D$500,$A$227,'Données sites'!$E$2:$E$500,$B228,'Données sites'!$F$2:$F$500,$C228)</f>
        <v>21.6</v>
      </c>
      <c r="F228" s="78" t="n">
        <f aca="false">IFERROR(E228/D228,0)</f>
        <v>21.6</v>
      </c>
    </row>
    <row r="229" customFormat="false" ht="14.25" hidden="false" customHeight="false" outlineLevel="0" collapsed="false">
      <c r="A229" s="115"/>
      <c r="B229" s="66" t="s">
        <v>547</v>
      </c>
      <c r="C229" s="66" t="s">
        <v>923</v>
      </c>
      <c r="D229" s="89" t="n">
        <f aca="false">COUNTIFS('Données sites'!$D$2:$D$500,$A$227,'Données sites'!$E$2:$E$500,$B229,'Données sites'!$F$2:$F$500,$C229)</f>
        <v>1</v>
      </c>
      <c r="E229" s="90" t="n">
        <f aca="false">SUMIFS('Données sites'!$G$2:$G$500,'Données sites'!$D$2:$D$500,$A$227,'Données sites'!$E$2:$E$500,$B229,'Données sites'!$F$2:$F$500,$C229)</f>
        <v>140.4</v>
      </c>
      <c r="F229" s="90" t="n">
        <f aca="false">IFERROR(E229/D229,0)</f>
        <v>140.4</v>
      </c>
    </row>
    <row r="230" customFormat="false" ht="14.25" hidden="false" customHeight="false" outlineLevel="0" collapsed="false">
      <c r="A230" s="114"/>
      <c r="B230" s="75" t="s">
        <v>547</v>
      </c>
      <c r="C230" s="75" t="s">
        <v>924</v>
      </c>
      <c r="D230" s="77" t="n">
        <f aca="false">COUNTIFS('Données sites'!$D$2:$D$500,$A$227,'Données sites'!$E$2:$E$500,$B230,'Données sites'!$F$2:$F$500,$C230)</f>
        <v>1</v>
      </c>
      <c r="E230" s="78" t="n">
        <f aca="false">SUMIFS('Données sites'!$G$2:$G$500,'Données sites'!$D$2:$D$500,$A$227,'Données sites'!$E$2:$E$500,$B230,'Données sites'!$F$2:$F$500,$C230)</f>
        <v>81</v>
      </c>
      <c r="F230" s="78" t="n">
        <f aca="false">IFERROR(E230/D230,0)</f>
        <v>81</v>
      </c>
    </row>
    <row r="231" customFormat="false" ht="14.25" hidden="false" customHeight="false" outlineLevel="0" collapsed="false">
      <c r="A231" s="115"/>
      <c r="B231" s="66" t="s">
        <v>547</v>
      </c>
      <c r="C231" s="66" t="s">
        <v>925</v>
      </c>
      <c r="D231" s="89" t="n">
        <f aca="false">COUNTIFS('Données sites'!$D$2:$D$500,$A$227,'Données sites'!$E$2:$E$500,$B231,'Données sites'!$F$2:$F$500,$C231)</f>
        <v>2</v>
      </c>
      <c r="E231" s="90" t="n">
        <f aca="false">SUMIFS('Données sites'!$G$2:$G$500,'Données sites'!$D$2:$D$500,$A$227,'Données sites'!$E$2:$E$500,$B231,'Données sites'!$F$2:$F$500,$C231)</f>
        <v>172.8</v>
      </c>
      <c r="F231" s="90" t="n">
        <f aca="false">IFERROR(E231/D231,0)</f>
        <v>86.4</v>
      </c>
    </row>
    <row r="232" customFormat="false" ht="14.25" hidden="false" customHeight="false" outlineLevel="0" collapsed="false">
      <c r="A232" s="114"/>
      <c r="B232" s="75" t="s">
        <v>547</v>
      </c>
      <c r="C232" s="75" t="s">
        <v>926</v>
      </c>
      <c r="D232" s="77" t="n">
        <f aca="false">COUNTIFS('Données sites'!$D$2:$D$500,$A$227,'Données sites'!$E$2:$E$500,$B232,'Données sites'!$F$2:$F$500,$C232)</f>
        <v>1</v>
      </c>
      <c r="E232" s="78" t="n">
        <f aca="false">SUMIFS('Données sites'!$G$2:$G$500,'Données sites'!$D$2:$D$500,$A$227,'Données sites'!$E$2:$E$500,$B232,'Données sites'!$F$2:$F$500,$C232)</f>
        <v>97.2</v>
      </c>
      <c r="F232" s="78" t="n">
        <f aca="false">IFERROR(E232/D232,0)</f>
        <v>97.2</v>
      </c>
    </row>
    <row r="233" customFormat="false" ht="14.25" hidden="false" customHeight="false" outlineLevel="0" collapsed="false">
      <c r="A233" s="115"/>
      <c r="B233" s="66" t="s">
        <v>547</v>
      </c>
      <c r="C233" s="66" t="s">
        <v>927</v>
      </c>
      <c r="D233" s="89" t="n">
        <f aca="false">COUNTIFS('Données sites'!$D$2:$D$500,$A$227,'Données sites'!$E$2:$E$500,$B233,'Données sites'!$F$2:$F$500,$C233)</f>
        <v>1</v>
      </c>
      <c r="E233" s="90" t="n">
        <f aca="false">SUMIFS('Données sites'!$G$2:$G$500,'Données sites'!$D$2:$D$500,$A$227,'Données sites'!$E$2:$E$500,$B233,'Données sites'!$F$2:$F$500,$C233)</f>
        <v>183.6</v>
      </c>
      <c r="F233" s="90" t="n">
        <f aca="false">IFERROR(E233/D233,0)</f>
        <v>183.6</v>
      </c>
    </row>
    <row r="234" customFormat="false" ht="14.25" hidden="false" customHeight="false" outlineLevel="0" collapsed="false">
      <c r="A234" s="114"/>
      <c r="B234" s="75" t="s">
        <v>547</v>
      </c>
      <c r="C234" s="75" t="s">
        <v>928</v>
      </c>
      <c r="D234" s="77" t="n">
        <f aca="false">COUNTIFS('Données sites'!$D$2:$D$500,$A$227,'Données sites'!$E$2:$E$500,$B234,'Données sites'!$F$2:$F$500,$C234)</f>
        <v>2</v>
      </c>
      <c r="E234" s="78" t="n">
        <f aca="false">SUMIFS('Données sites'!$G$2:$G$500,'Données sites'!$D$2:$D$500,$A$227,'Données sites'!$E$2:$E$500,$B234,'Données sites'!$F$2:$F$500,$C234)</f>
        <v>264.6</v>
      </c>
      <c r="F234" s="78" t="n">
        <f aca="false">IFERROR(E234/D234,0)</f>
        <v>132.3</v>
      </c>
    </row>
    <row r="235" customFormat="false" ht="14.25" hidden="false" customHeight="false" outlineLevel="0" collapsed="false">
      <c r="A235" s="115"/>
      <c r="B235" s="66" t="s">
        <v>547</v>
      </c>
      <c r="C235" s="66" t="s">
        <v>929</v>
      </c>
      <c r="D235" s="89" t="n">
        <f aca="false">COUNTIFS('Données sites'!$D$2:$D$500,$A$227,'Données sites'!$E$2:$E$500,$B235,'Données sites'!$F$2:$F$500,$C235)</f>
        <v>1</v>
      </c>
      <c r="E235" s="90" t="n">
        <f aca="false">SUMIFS('Données sites'!$G$2:$G$500,'Données sites'!$D$2:$D$500,$A$227,'Données sites'!$E$2:$E$500,$B235,'Données sites'!$F$2:$F$500,$C235)</f>
        <v>54</v>
      </c>
      <c r="F235" s="90" t="n">
        <f aca="false">IFERROR(E235/D235,0)</f>
        <v>54</v>
      </c>
    </row>
    <row r="236" customFormat="false" ht="14.25" hidden="false" customHeight="false" outlineLevel="0" collapsed="false">
      <c r="A236" s="114"/>
      <c r="B236" s="75" t="s">
        <v>538</v>
      </c>
      <c r="C236" s="75" t="s">
        <v>540</v>
      </c>
      <c r="D236" s="77" t="n">
        <f aca="false">COUNTIFS('Données sites'!$D$2:$D$500,$A$227,'Données sites'!$E$2:$E$500,$B236,'Données sites'!$F$2:$F$500,$C236)</f>
        <v>1</v>
      </c>
      <c r="E236" s="78" t="n">
        <f aca="false">SUMIFS('Données sites'!$G$2:$G$500,'Données sites'!$D$2:$D$500,$A$227,'Données sites'!$E$2:$E$500,$B236,'Données sites'!$F$2:$F$500,$C236)</f>
        <v>183.6</v>
      </c>
      <c r="F236" s="78" t="n">
        <f aca="false">IFERROR(E236/D236,0)</f>
        <v>183.6</v>
      </c>
    </row>
    <row r="237" customFormat="false" ht="14.25" hidden="false" customHeight="false" outlineLevel="0" collapsed="false">
      <c r="A237" s="115"/>
      <c r="B237" s="66" t="s">
        <v>538</v>
      </c>
      <c r="C237" s="66" t="s">
        <v>930</v>
      </c>
      <c r="D237" s="89" t="n">
        <f aca="false">COUNTIFS('Données sites'!$D$2:$D$500,$A$227,'Données sites'!$E$2:$E$500,$B237,'Données sites'!$F$2:$F$500,$C237)</f>
        <v>1</v>
      </c>
      <c r="E237" s="90" t="n">
        <f aca="false">SUMIFS('Données sites'!$G$2:$G$500,'Données sites'!$D$2:$D$500,$A$227,'Données sites'!$E$2:$E$500,$B237,'Données sites'!$F$2:$F$500,$C237)</f>
        <v>32.4</v>
      </c>
      <c r="F237" s="90" t="n">
        <f aca="false">IFERROR(E237/D237,0)</f>
        <v>32.4</v>
      </c>
    </row>
    <row r="238" customFormat="false" ht="14.25" hidden="false" customHeight="false" outlineLevel="0" collapsed="false">
      <c r="A238" s="114"/>
      <c r="B238" s="75" t="s">
        <v>538</v>
      </c>
      <c r="C238" s="75" t="s">
        <v>931</v>
      </c>
      <c r="D238" s="77" t="n">
        <f aca="false">COUNTIFS('Données sites'!$D$2:$D$500,$A$227,'Données sites'!$E$2:$E$500,$B238,'Données sites'!$F$2:$F$500,$C238)</f>
        <v>1</v>
      </c>
      <c r="E238" s="78" t="n">
        <f aca="false">SUMIFS('Données sites'!$G$2:$G$500,'Données sites'!$D$2:$D$500,$A$227,'Données sites'!$E$2:$E$500,$B238,'Données sites'!$F$2:$F$500,$C238)</f>
        <v>97.2</v>
      </c>
      <c r="F238" s="78" t="n">
        <f aca="false">IFERROR(E238/D238,0)</f>
        <v>97.2</v>
      </c>
    </row>
    <row r="239" customFormat="false" ht="14.25" hidden="false" customHeight="false" outlineLevel="0" collapsed="false">
      <c r="A239" s="115"/>
      <c r="B239" s="66" t="s">
        <v>538</v>
      </c>
      <c r="C239" s="66" t="s">
        <v>932</v>
      </c>
      <c r="D239" s="89" t="n">
        <f aca="false">COUNTIFS('Données sites'!$D$2:$D$500,$A$227,'Données sites'!$E$2:$E$500,$B239,'Données sites'!$F$2:$F$500,$C239)</f>
        <v>1</v>
      </c>
      <c r="E239" s="90" t="n">
        <f aca="false">SUMIFS('Données sites'!$G$2:$G$500,'Données sites'!$D$2:$D$500,$A$227,'Données sites'!$E$2:$E$500,$B239,'Données sites'!$F$2:$F$500,$C239)</f>
        <v>140.4</v>
      </c>
      <c r="F239" s="90" t="n">
        <f aca="false">IFERROR(E239/D239,0)</f>
        <v>140.4</v>
      </c>
    </row>
    <row r="240" customFormat="false" ht="14.25" hidden="false" customHeight="false" outlineLevel="0" collapsed="false">
      <c r="A240" s="114"/>
      <c r="B240" s="75" t="s">
        <v>538</v>
      </c>
      <c r="C240" s="75" t="s">
        <v>933</v>
      </c>
      <c r="D240" s="77" t="n">
        <f aca="false">COUNTIFS('Données sites'!$D$2:$D$500,$A$227,'Données sites'!$E$2:$E$500,$B240,'Données sites'!$F$2:$F$500,$C240)</f>
        <v>2</v>
      </c>
      <c r="E240" s="78" t="n">
        <f aca="false">SUMIFS('Données sites'!$G$2:$G$500,'Données sites'!$D$2:$D$500,$A$227,'Données sites'!$E$2:$E$500,$B240,'Données sites'!$F$2:$F$500,$C240)</f>
        <v>178.2</v>
      </c>
      <c r="F240" s="78" t="n">
        <f aca="false">IFERROR(E240/D240,0)</f>
        <v>89.1</v>
      </c>
    </row>
    <row r="241" customFormat="false" ht="14.25" hidden="false" customHeight="false" outlineLevel="0" collapsed="false">
      <c r="A241" s="115"/>
      <c r="B241" s="66" t="s">
        <v>538</v>
      </c>
      <c r="C241" s="66" t="s">
        <v>934</v>
      </c>
      <c r="D241" s="89" t="n">
        <f aca="false">COUNTIFS('Données sites'!$D$2:$D$500,$A$227,'Données sites'!$E$2:$E$500,$B241,'Données sites'!$F$2:$F$500,$C241)</f>
        <v>2</v>
      </c>
      <c r="E241" s="90" t="n">
        <f aca="false">SUMIFS('Données sites'!$G$2:$G$500,'Données sites'!$D$2:$D$500,$A$227,'Données sites'!$E$2:$E$500,$B241,'Données sites'!$F$2:$F$500,$C241)</f>
        <v>151.2</v>
      </c>
      <c r="F241" s="90" t="n">
        <f aca="false">IFERROR(E241/D241,0)</f>
        <v>75.6</v>
      </c>
    </row>
    <row r="242" customFormat="false" ht="14.25" hidden="false" customHeight="false" outlineLevel="0" collapsed="false">
      <c r="A242" s="114"/>
      <c r="B242" s="75" t="s">
        <v>558</v>
      </c>
      <c r="C242" s="75" t="s">
        <v>935</v>
      </c>
      <c r="D242" s="77" t="n">
        <f aca="false">COUNTIFS('Données sites'!$D$2:$D$500,$A$227,'Données sites'!$E$2:$E$500,$B242,'Données sites'!$F$2:$F$500,$C242)</f>
        <v>1</v>
      </c>
      <c r="E242" s="78" t="n">
        <f aca="false">SUMIFS('Données sites'!$G$2:$G$500,'Données sites'!$D$2:$D$500,$A$227,'Données sites'!$E$2:$E$500,$B242,'Données sites'!$F$2:$F$500,$C242)</f>
        <v>81</v>
      </c>
      <c r="F242" s="78" t="n">
        <f aca="false">IFERROR(E242/D242,0)</f>
        <v>81</v>
      </c>
    </row>
    <row r="243" customFormat="false" ht="14.25" hidden="false" customHeight="false" outlineLevel="0" collapsed="false">
      <c r="A243" s="115"/>
      <c r="B243" s="66" t="s">
        <v>558</v>
      </c>
      <c r="C243" s="66" t="s">
        <v>936</v>
      </c>
      <c r="D243" s="89" t="n">
        <f aca="false">COUNTIFS('Données sites'!$D$2:$D$500,$A$227,'Données sites'!$E$2:$E$500,$B243,'Données sites'!$F$2:$F$500,$C243)</f>
        <v>3</v>
      </c>
      <c r="E243" s="90" t="n">
        <f aca="false">SUMIFS('Données sites'!$G$2:$G$500,'Données sites'!$D$2:$D$500,$A$227,'Données sites'!$E$2:$E$500,$B243,'Données sites'!$F$2:$F$500,$C243)</f>
        <v>167.4</v>
      </c>
      <c r="F243" s="90" t="n">
        <f aca="false">IFERROR(E243/D243,0)</f>
        <v>55.8</v>
      </c>
    </row>
    <row r="244" customFormat="false" ht="14.25" hidden="false" customHeight="false" outlineLevel="0" collapsed="false">
      <c r="A244" s="114"/>
      <c r="B244" s="75" t="s">
        <v>558</v>
      </c>
      <c r="C244" s="75" t="s">
        <v>937</v>
      </c>
      <c r="D244" s="77" t="n">
        <f aca="false">COUNTIFS('Données sites'!$D$2:$D$500,$A$227,'Données sites'!$E$2:$E$500,$B244,'Données sites'!$F$2:$F$500,$C244)</f>
        <v>1</v>
      </c>
      <c r="E244" s="78" t="n">
        <f aca="false">SUMIFS('Données sites'!$G$2:$G$500,'Données sites'!$D$2:$D$500,$A$227,'Données sites'!$E$2:$E$500,$B244,'Données sites'!$F$2:$F$500,$C244)</f>
        <v>54</v>
      </c>
      <c r="F244" s="78" t="n">
        <f aca="false">IFERROR(E244/D244,0)</f>
        <v>54</v>
      </c>
    </row>
    <row r="245" customFormat="false" ht="14.25" hidden="false" customHeight="false" outlineLevel="0" collapsed="false">
      <c r="A245" s="115"/>
      <c r="B245" s="66" t="s">
        <v>530</v>
      </c>
      <c r="C245" s="66" t="s">
        <v>938</v>
      </c>
      <c r="D245" s="89" t="n">
        <f aca="false">COUNTIFS('Données sites'!$D$2:$D$500,$A$227,'Données sites'!$E$2:$E$500,$B245,'Données sites'!$F$2:$F$500,$C245)</f>
        <v>1</v>
      </c>
      <c r="E245" s="90" t="n">
        <f aca="false">SUMIFS('Données sites'!$G$2:$G$500,'Données sites'!$D$2:$D$500,$A$227,'Données sites'!$E$2:$E$500,$B245,'Données sites'!$F$2:$F$500,$C245)</f>
        <v>81</v>
      </c>
      <c r="F245" s="90" t="n">
        <f aca="false">IFERROR(E245/D245,0)</f>
        <v>81</v>
      </c>
    </row>
    <row r="246" customFormat="false" ht="14.25" hidden="false" customHeight="false" outlineLevel="0" collapsed="false">
      <c r="A246" s="114"/>
      <c r="B246" s="75" t="s">
        <v>530</v>
      </c>
      <c r="C246" s="75" t="s">
        <v>939</v>
      </c>
      <c r="D246" s="77" t="n">
        <f aca="false">COUNTIFS('Données sites'!$D$2:$D$500,$A$227,'Données sites'!$E$2:$E$500,$B246,'Données sites'!$F$2:$F$500,$C246)</f>
        <v>1</v>
      </c>
      <c r="E246" s="78" t="n">
        <f aca="false">SUMIFS('Données sites'!$G$2:$G$500,'Données sites'!$D$2:$D$500,$A$227,'Données sites'!$E$2:$E$500,$B246,'Données sites'!$F$2:$F$500,$C246)</f>
        <v>21.6</v>
      </c>
      <c r="F246" s="78" t="n">
        <f aca="false">IFERROR(E246/D246,0)</f>
        <v>21.6</v>
      </c>
    </row>
    <row r="247" customFormat="false" ht="14.25" hidden="false" customHeight="false" outlineLevel="0" collapsed="false">
      <c r="A247" s="115"/>
      <c r="B247" s="66" t="s">
        <v>530</v>
      </c>
      <c r="C247" s="66" t="s">
        <v>940</v>
      </c>
      <c r="D247" s="89" t="n">
        <f aca="false">COUNTIFS('Données sites'!$D$2:$D$500,$A$227,'Données sites'!$E$2:$E$500,$B247,'Données sites'!$F$2:$F$500,$C247)</f>
        <v>1</v>
      </c>
      <c r="E247" s="90" t="n">
        <f aca="false">SUMIFS('Données sites'!$G$2:$G$500,'Données sites'!$D$2:$D$500,$A$227,'Données sites'!$E$2:$E$500,$B247,'Données sites'!$F$2:$F$500,$C247)</f>
        <v>81</v>
      </c>
      <c r="F247" s="90" t="n">
        <f aca="false">IFERROR(E247/D247,0)</f>
        <v>81</v>
      </c>
    </row>
    <row r="248" customFormat="false" ht="14.25" hidden="false" customHeight="false" outlineLevel="0" collapsed="false">
      <c r="A248" s="114"/>
      <c r="B248" s="75" t="s">
        <v>530</v>
      </c>
      <c r="C248" s="75" t="s">
        <v>941</v>
      </c>
      <c r="D248" s="77" t="n">
        <f aca="false">COUNTIFS('Données sites'!$D$2:$D$500,$A$227,'Données sites'!$E$2:$E$500,$B248,'Données sites'!$F$2:$F$500,$C248)</f>
        <v>1</v>
      </c>
      <c r="E248" s="78" t="n">
        <f aca="false">SUMIFS('Données sites'!$G$2:$G$500,'Données sites'!$D$2:$D$500,$A$227,'Données sites'!$E$2:$E$500,$B248,'Données sites'!$F$2:$F$500,$C248)</f>
        <v>140.4</v>
      </c>
      <c r="F248" s="78" t="n">
        <f aca="false">IFERROR(E248/D248,0)</f>
        <v>140.4</v>
      </c>
    </row>
    <row r="249" customFormat="false" ht="14.25" hidden="false" customHeight="false" outlineLevel="0" collapsed="false">
      <c r="A249" s="115"/>
      <c r="B249" s="66" t="s">
        <v>530</v>
      </c>
      <c r="C249" s="66" t="s">
        <v>942</v>
      </c>
      <c r="D249" s="89" t="n">
        <f aca="false">COUNTIFS('Données sites'!$D$2:$D$500,$A$227,'Données sites'!$E$2:$E$500,$B249,'Données sites'!$F$2:$F$500,$C249)</f>
        <v>1</v>
      </c>
      <c r="E249" s="90" t="n">
        <f aca="false">SUMIFS('Données sites'!$G$2:$G$500,'Données sites'!$D$2:$D$500,$A$227,'Données sites'!$E$2:$E$500,$B249,'Données sites'!$F$2:$F$500,$C249)</f>
        <v>140.4</v>
      </c>
      <c r="F249" s="90" t="n">
        <f aca="false">IFERROR(E249/D249,0)</f>
        <v>140.4</v>
      </c>
    </row>
    <row r="250" customFormat="false" ht="14.25" hidden="false" customHeight="false" outlineLevel="0" collapsed="false">
      <c r="A250" s="114"/>
      <c r="B250" s="75" t="s">
        <v>564</v>
      </c>
      <c r="C250" s="75" t="s">
        <v>943</v>
      </c>
      <c r="D250" s="77" t="n">
        <f aca="false">COUNTIFS('Données sites'!$D$2:$D$500,$A$227,'Données sites'!$E$2:$E$500,$B250,'Données sites'!$F$2:$F$500,$C250)</f>
        <v>1</v>
      </c>
      <c r="E250" s="78" t="n">
        <f aca="false">SUMIFS('Données sites'!$G$2:$G$500,'Données sites'!$D$2:$D$500,$A$227,'Données sites'!$E$2:$E$500,$B250,'Données sites'!$F$2:$F$500,$C250)</f>
        <v>81</v>
      </c>
      <c r="F250" s="78" t="n">
        <f aca="false">IFERROR(E250/D250,0)</f>
        <v>81</v>
      </c>
    </row>
    <row r="251" customFormat="false" ht="14.25" hidden="false" customHeight="false" outlineLevel="0" collapsed="false">
      <c r="A251" s="115"/>
      <c r="B251" s="66" t="s">
        <v>564</v>
      </c>
      <c r="C251" s="66" t="s">
        <v>944</v>
      </c>
      <c r="D251" s="89" t="n">
        <f aca="false">COUNTIFS('Données sites'!$D$2:$D$500,$A$227,'Données sites'!$E$2:$E$500,$B251,'Données sites'!$F$2:$F$500,$C251)</f>
        <v>4</v>
      </c>
      <c r="E251" s="90" t="n">
        <f aca="false">SUMIFS('Données sites'!$G$2:$G$500,'Données sites'!$D$2:$D$500,$A$227,'Données sites'!$E$2:$E$500,$B251,'Données sites'!$F$2:$F$500,$C251)</f>
        <v>410.4</v>
      </c>
      <c r="F251" s="90" t="n">
        <f aca="false">IFERROR(E251/D251,0)</f>
        <v>102.6</v>
      </c>
    </row>
    <row r="252" customFormat="false" ht="14.25" hidden="false" customHeight="false" outlineLevel="0" collapsed="false">
      <c r="A252" s="114"/>
      <c r="B252" s="75" t="s">
        <v>536</v>
      </c>
      <c r="C252" s="75" t="s">
        <v>945</v>
      </c>
      <c r="D252" s="77" t="n">
        <f aca="false">COUNTIFS('Données sites'!$D$2:$D$500,$A$227,'Données sites'!$E$2:$E$500,$B252,'Données sites'!$F$2:$F$500,$C252)</f>
        <v>1</v>
      </c>
      <c r="E252" s="78" t="n">
        <f aca="false">SUMIFS('Données sites'!$G$2:$G$500,'Données sites'!$D$2:$D$500,$A$227,'Données sites'!$E$2:$E$500,$B252,'Données sites'!$F$2:$F$500,$C252)</f>
        <v>54</v>
      </c>
      <c r="F252" s="78" t="n">
        <f aca="false">IFERROR(E252/D252,0)</f>
        <v>54</v>
      </c>
    </row>
    <row r="253" customFormat="false" ht="14.25" hidden="false" customHeight="false" outlineLevel="0" collapsed="false">
      <c r="A253" s="109" t="s">
        <v>56</v>
      </c>
      <c r="B253" s="110"/>
      <c r="C253" s="110"/>
      <c r="D253" s="111" t="n">
        <f aca="false">COUNTIFS('Données sites'!$D$2:$D$500,$A253)</f>
        <v>27</v>
      </c>
      <c r="E253" s="112" t="n">
        <f aca="false">SUMIFS('Données sites'!$G$2:$G$500,'Données sites'!$D$2:$D$500,$A253)</f>
        <v>1742.2</v>
      </c>
      <c r="F253" s="112" t="n">
        <f aca="false">IFERROR(E253/D253,0)</f>
        <v>64.5259259259259</v>
      </c>
    </row>
    <row r="254" customFormat="false" ht="14.25" hidden="false" customHeight="false" outlineLevel="0" collapsed="false">
      <c r="A254" s="114"/>
      <c r="B254" s="75" t="s">
        <v>649</v>
      </c>
      <c r="C254" s="75" t="s">
        <v>946</v>
      </c>
      <c r="D254" s="77" t="n">
        <f aca="false">COUNTIFS('Données sites'!$D$2:$D$500,$A$253,'Données sites'!$E$2:$E$500,$B254,'Données sites'!$F$2:$F$500,$C254)</f>
        <v>4</v>
      </c>
      <c r="E254" s="78" t="n">
        <f aca="false">SUMIFS('Données sites'!$G$2:$G$500,'Données sites'!$D$2:$D$500,$A$253,'Données sites'!$E$2:$E$500,$B254,'Données sites'!$F$2:$F$500,$C254)</f>
        <v>212.4</v>
      </c>
      <c r="F254" s="78" t="n">
        <f aca="false">IFERROR(E254/D254,0)</f>
        <v>53.1</v>
      </c>
    </row>
    <row r="255" customFormat="false" ht="14.25" hidden="false" customHeight="false" outlineLevel="0" collapsed="false">
      <c r="A255" s="115"/>
      <c r="B255" s="66" t="s">
        <v>649</v>
      </c>
      <c r="C255" s="66" t="s">
        <v>947</v>
      </c>
      <c r="D255" s="89" t="n">
        <f aca="false">COUNTIFS('Données sites'!$D$2:$D$500,$A$253,'Données sites'!$E$2:$E$500,$B255,'Données sites'!$F$2:$F$500,$C255)</f>
        <v>6</v>
      </c>
      <c r="E255" s="90" t="n">
        <f aca="false">SUMIFS('Données sites'!$G$2:$G$500,'Données sites'!$D$2:$D$500,$A$253,'Données sites'!$E$2:$E$500,$B255,'Données sites'!$F$2:$F$500,$C255)</f>
        <v>474.4</v>
      </c>
      <c r="F255" s="90" t="n">
        <f aca="false">IFERROR(E255/D255,0)</f>
        <v>79.0666666666667</v>
      </c>
    </row>
    <row r="256" customFormat="false" ht="14.25" hidden="false" customHeight="false" outlineLevel="0" collapsed="false">
      <c r="A256" s="114"/>
      <c r="B256" s="75" t="s">
        <v>649</v>
      </c>
      <c r="C256" s="75" t="s">
        <v>948</v>
      </c>
      <c r="D256" s="77" t="n">
        <f aca="false">COUNTIFS('Données sites'!$D$2:$D$500,$A$253,'Données sites'!$E$2:$E$500,$B256,'Données sites'!$F$2:$F$500,$C256)</f>
        <v>1</v>
      </c>
      <c r="E256" s="78" t="n">
        <f aca="false">SUMIFS('Données sites'!$G$2:$G$500,'Données sites'!$D$2:$D$500,$A$253,'Données sites'!$E$2:$E$500,$B256,'Données sites'!$F$2:$F$500,$C256)</f>
        <v>80</v>
      </c>
      <c r="F256" s="78" t="n">
        <f aca="false">IFERROR(E256/D256,0)</f>
        <v>80</v>
      </c>
    </row>
    <row r="257" customFormat="false" ht="14.25" hidden="false" customHeight="false" outlineLevel="0" collapsed="false">
      <c r="A257" s="115"/>
      <c r="B257" s="66" t="s">
        <v>521</v>
      </c>
      <c r="C257" s="66" t="s">
        <v>949</v>
      </c>
      <c r="D257" s="89" t="n">
        <f aca="false">COUNTIFS('Données sites'!$D$2:$D$500,$A$253,'Données sites'!$E$2:$E$500,$B257,'Données sites'!$F$2:$F$500,$C257)</f>
        <v>1</v>
      </c>
      <c r="E257" s="90" t="n">
        <f aca="false">SUMIFS('Données sites'!$G$2:$G$500,'Données sites'!$D$2:$D$500,$A$253,'Données sites'!$E$2:$E$500,$B257,'Données sites'!$F$2:$F$500,$C257)</f>
        <v>81</v>
      </c>
      <c r="F257" s="90" t="n">
        <f aca="false">IFERROR(E257/D257,0)</f>
        <v>81</v>
      </c>
    </row>
    <row r="258" customFormat="false" ht="14.25" hidden="false" customHeight="false" outlineLevel="0" collapsed="false">
      <c r="A258" s="114"/>
      <c r="B258" s="75" t="s">
        <v>521</v>
      </c>
      <c r="C258" s="75" t="s">
        <v>950</v>
      </c>
      <c r="D258" s="77" t="n">
        <f aca="false">COUNTIFS('Données sites'!$D$2:$D$500,$A$253,'Données sites'!$E$2:$E$500,$B258,'Données sites'!$F$2:$F$500,$C258)</f>
        <v>3</v>
      </c>
      <c r="E258" s="78" t="n">
        <f aca="false">SUMIFS('Données sites'!$G$2:$G$500,'Données sites'!$D$2:$D$500,$A$253,'Données sites'!$E$2:$E$500,$B258,'Données sites'!$F$2:$F$500,$C258)</f>
        <v>297</v>
      </c>
      <c r="F258" s="78" t="n">
        <f aca="false">IFERROR(E258/D258,0)</f>
        <v>99</v>
      </c>
    </row>
    <row r="259" customFormat="false" ht="14.25" hidden="false" customHeight="false" outlineLevel="0" collapsed="false">
      <c r="A259" s="115"/>
      <c r="B259" s="66" t="s">
        <v>521</v>
      </c>
      <c r="C259" s="66" t="s">
        <v>951</v>
      </c>
      <c r="D259" s="89" t="n">
        <f aca="false">COUNTIFS('Données sites'!$D$2:$D$500,$A$253,'Données sites'!$E$2:$E$500,$B259,'Données sites'!$F$2:$F$500,$C259)</f>
        <v>1</v>
      </c>
      <c r="E259" s="90" t="n">
        <f aca="false">SUMIFS('Données sites'!$G$2:$G$500,'Données sites'!$D$2:$D$500,$A$253,'Données sites'!$E$2:$E$500,$B259,'Données sites'!$F$2:$F$500,$C259)</f>
        <v>54</v>
      </c>
      <c r="F259" s="90" t="n">
        <f aca="false">IFERROR(E259/D259,0)</f>
        <v>54</v>
      </c>
    </row>
    <row r="260" customFormat="false" ht="14.25" hidden="false" customHeight="false" outlineLevel="0" collapsed="false">
      <c r="A260" s="114"/>
      <c r="B260" s="75" t="s">
        <v>521</v>
      </c>
      <c r="C260" s="75" t="s">
        <v>952</v>
      </c>
      <c r="D260" s="77" t="n">
        <f aca="false">COUNTIFS('Données sites'!$D$2:$D$500,$A$253,'Données sites'!$E$2:$E$500,$B260,'Données sites'!$F$2:$F$500,$C260)</f>
        <v>1</v>
      </c>
      <c r="E260" s="78" t="n">
        <f aca="false">SUMIFS('Données sites'!$G$2:$G$500,'Données sites'!$D$2:$D$500,$A$253,'Données sites'!$E$2:$E$500,$B260,'Données sites'!$F$2:$F$500,$C260)</f>
        <v>32.4</v>
      </c>
      <c r="F260" s="78" t="n">
        <f aca="false">IFERROR(E260/D260,0)</f>
        <v>32.4</v>
      </c>
    </row>
    <row r="261" customFormat="false" ht="14.25" hidden="false" customHeight="false" outlineLevel="0" collapsed="false">
      <c r="A261" s="115"/>
      <c r="B261" s="66" t="s">
        <v>521</v>
      </c>
      <c r="C261" s="66" t="s">
        <v>953</v>
      </c>
      <c r="D261" s="89" t="n">
        <f aca="false">COUNTIFS('Données sites'!$D$2:$D$500,$A$253,'Données sites'!$E$2:$E$500,$B261,'Données sites'!$F$2:$F$500,$C261)</f>
        <v>2</v>
      </c>
      <c r="E261" s="90" t="n">
        <f aca="false">SUMIFS('Données sites'!$G$2:$G$500,'Données sites'!$D$2:$D$500,$A$253,'Données sites'!$E$2:$E$500,$B261,'Données sites'!$F$2:$F$500,$C261)</f>
        <v>64.8</v>
      </c>
      <c r="F261" s="90" t="n">
        <f aca="false">IFERROR(E261/D261,0)</f>
        <v>32.4</v>
      </c>
    </row>
    <row r="262" customFormat="false" ht="14.25" hidden="false" customHeight="false" outlineLevel="0" collapsed="false">
      <c r="A262" s="114"/>
      <c r="B262" s="75" t="s">
        <v>513</v>
      </c>
      <c r="C262" s="75" t="s">
        <v>954</v>
      </c>
      <c r="D262" s="77" t="n">
        <f aca="false">COUNTIFS('Données sites'!$D$2:$D$500,$A$253,'Données sites'!$E$2:$E$500,$B262,'Données sites'!$F$2:$F$500,$C262)</f>
        <v>3</v>
      </c>
      <c r="E262" s="78" t="n">
        <f aca="false">SUMIFS('Données sites'!$G$2:$G$500,'Données sites'!$D$2:$D$500,$A$253,'Données sites'!$E$2:$E$500,$B262,'Données sites'!$F$2:$F$500,$C262)</f>
        <v>192.4</v>
      </c>
      <c r="F262" s="78" t="n">
        <f aca="false">IFERROR(E262/D262,0)</f>
        <v>64.1333333333333</v>
      </c>
    </row>
    <row r="263" customFormat="false" ht="14.25" hidden="false" customHeight="false" outlineLevel="0" collapsed="false">
      <c r="A263" s="115"/>
      <c r="B263" s="66" t="s">
        <v>513</v>
      </c>
      <c r="C263" s="66" t="s">
        <v>955</v>
      </c>
      <c r="D263" s="89" t="n">
        <f aca="false">COUNTIFS('Données sites'!$D$2:$D$500,$A$253,'Données sites'!$E$2:$E$500,$B263,'Données sites'!$F$2:$F$500,$C263)</f>
        <v>1</v>
      </c>
      <c r="E263" s="90" t="n">
        <f aca="false">SUMIFS('Données sites'!$G$2:$G$500,'Données sites'!$D$2:$D$500,$A$253,'Données sites'!$E$2:$E$500,$B263,'Données sites'!$F$2:$F$500,$C263)</f>
        <v>32.4</v>
      </c>
      <c r="F263" s="90" t="n">
        <f aca="false">IFERROR(E263/D263,0)</f>
        <v>32.4</v>
      </c>
    </row>
    <row r="264" customFormat="false" ht="14.25" hidden="false" customHeight="false" outlineLevel="0" collapsed="false">
      <c r="A264" s="114"/>
      <c r="B264" s="75" t="s">
        <v>518</v>
      </c>
      <c r="C264" s="75" t="s">
        <v>956</v>
      </c>
      <c r="D264" s="77" t="n">
        <f aca="false">COUNTIFS('Données sites'!$D$2:$D$500,$A$253,'Données sites'!$E$2:$E$500,$B264,'Données sites'!$F$2:$F$500,$C264)</f>
        <v>1</v>
      </c>
      <c r="E264" s="78" t="n">
        <f aca="false">SUMIFS('Données sites'!$G$2:$G$500,'Données sites'!$D$2:$D$500,$A$253,'Données sites'!$E$2:$E$500,$B264,'Données sites'!$F$2:$F$500,$C264)</f>
        <v>54</v>
      </c>
      <c r="F264" s="78" t="n">
        <f aca="false">IFERROR(E264/D264,0)</f>
        <v>54</v>
      </c>
    </row>
    <row r="265" customFormat="false" ht="14.25" hidden="false" customHeight="false" outlineLevel="0" collapsed="false">
      <c r="A265" s="115"/>
      <c r="B265" s="66" t="s">
        <v>518</v>
      </c>
      <c r="C265" s="66" t="s">
        <v>957</v>
      </c>
      <c r="D265" s="89" t="n">
        <f aca="false">COUNTIFS('Données sites'!$D$2:$D$500,$A$253,'Données sites'!$E$2:$E$500,$B265,'Données sites'!$F$2:$F$500,$C265)</f>
        <v>1</v>
      </c>
      <c r="E265" s="90" t="n">
        <f aca="false">SUMIFS('Données sites'!$G$2:$G$500,'Données sites'!$D$2:$D$500,$A$253,'Données sites'!$E$2:$E$500,$B265,'Données sites'!$F$2:$F$500,$C265)</f>
        <v>81</v>
      </c>
      <c r="F265" s="90" t="n">
        <f aca="false">IFERROR(E265/D265,0)</f>
        <v>81</v>
      </c>
    </row>
    <row r="266" customFormat="false" ht="14.25" hidden="false" customHeight="false" outlineLevel="0" collapsed="false">
      <c r="A266" s="114"/>
      <c r="B266" s="75" t="s">
        <v>509</v>
      </c>
      <c r="C266" s="75" t="s">
        <v>953</v>
      </c>
      <c r="D266" s="77" t="n">
        <f aca="false">COUNTIFS('Données sites'!$D$2:$D$500,$A$253,'Données sites'!$E$2:$E$500,$B266,'Données sites'!$F$2:$F$500,$C266)</f>
        <v>1</v>
      </c>
      <c r="E266" s="78" t="n">
        <f aca="false">SUMIFS('Données sites'!$G$2:$G$500,'Données sites'!$D$2:$D$500,$A$253,'Données sites'!$E$2:$E$500,$B266,'Données sites'!$F$2:$F$500,$C266)</f>
        <v>54</v>
      </c>
      <c r="F266" s="78" t="n">
        <f aca="false">IFERROR(E266/D266,0)</f>
        <v>54</v>
      </c>
    </row>
    <row r="267" customFormat="false" ht="14.25" hidden="false" customHeight="false" outlineLevel="0" collapsed="false">
      <c r="A267" s="115"/>
      <c r="B267" s="66" t="s">
        <v>511</v>
      </c>
      <c r="C267" s="66" t="s">
        <v>958</v>
      </c>
      <c r="D267" s="89" t="n">
        <f aca="false">COUNTIFS('Données sites'!$D$2:$D$500,$A$253,'Données sites'!$E$2:$E$500,$B267,'Données sites'!$F$2:$F$500,$C267)</f>
        <v>1</v>
      </c>
      <c r="E267" s="90" t="n">
        <f aca="false">SUMIFS('Données sites'!$G$2:$G$500,'Données sites'!$D$2:$D$500,$A$253,'Données sites'!$E$2:$E$500,$B267,'Données sites'!$F$2:$F$500,$C267)</f>
        <v>32.4</v>
      </c>
      <c r="F267" s="90" t="n">
        <f aca="false">IFERROR(E267/D267,0)</f>
        <v>32.4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E6F1"/>
    <pageSetUpPr fitToPage="false"/>
  </sheetPr>
  <dimension ref="A1:J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12" activePane="bottomLeft" state="frozen"/>
      <selection pane="topLeft" activeCell="A1" activeCellId="0" sqref="A1"/>
      <selection pane="bottomLeft" activeCell="A212" activeCellId="0" sqref="A212"/>
    </sheetView>
  </sheetViews>
  <sheetFormatPr defaultColWidth="8.71484375" defaultRowHeight="14.25" zeroHeight="false" outlineLevelRow="0" outlineLevelCol="0"/>
  <cols>
    <col collapsed="false" customWidth="true" hidden="false" outlineLevel="0" max="1" min="1" style="99" width="13"/>
    <col collapsed="false" customWidth="true" hidden="false" outlineLevel="0" max="2" min="2" style="99" width="10"/>
    <col collapsed="false" customWidth="true" hidden="false" outlineLevel="0" max="3" min="3" style="0" width="24.42"/>
    <col collapsed="false" customWidth="true" hidden="false" outlineLevel="0" max="4" min="4" style="0" width="14"/>
    <col collapsed="false" customWidth="true" hidden="false" outlineLevel="0" max="5" min="5" style="0" width="20"/>
    <col collapsed="false" customWidth="true" hidden="false" outlineLevel="0" max="6" min="6" style="0" width="22"/>
    <col collapsed="false" customWidth="true" hidden="false" outlineLevel="0" max="7" min="7" style="99" width="14"/>
    <col collapsed="false" customWidth="true" hidden="false" outlineLevel="0" max="9" min="8" style="0" width="12"/>
    <col collapsed="false" customWidth="true" hidden="false" outlineLevel="0" max="10" min="10" style="99" width="36"/>
  </cols>
  <sheetData>
    <row r="1" customFormat="false" ht="14.25" hidden="false" customHeight="false" outlineLevel="0" collapsed="false">
      <c r="A1" s="108" t="s">
        <v>172</v>
      </c>
      <c r="B1" s="108" t="s">
        <v>959</v>
      </c>
      <c r="C1" s="108" t="s">
        <v>171</v>
      </c>
      <c r="D1" s="108" t="s">
        <v>169</v>
      </c>
      <c r="E1" s="108" t="s">
        <v>170</v>
      </c>
      <c r="F1" s="108" t="s">
        <v>739</v>
      </c>
      <c r="G1" s="108" t="s">
        <v>18</v>
      </c>
      <c r="H1" s="108" t="s">
        <v>960</v>
      </c>
      <c r="I1" s="108" t="s">
        <v>961</v>
      </c>
      <c r="J1" s="108" t="s">
        <v>168</v>
      </c>
    </row>
    <row r="2" customFormat="false" ht="14.25" hidden="true" customHeight="false" outlineLevel="0" collapsed="false">
      <c r="A2" s="116" t="s">
        <v>190</v>
      </c>
      <c r="B2" s="116" t="n">
        <v>3</v>
      </c>
      <c r="C2" s="117" t="s">
        <v>572</v>
      </c>
      <c r="D2" s="117" t="s">
        <v>35</v>
      </c>
      <c r="E2" s="117" t="s">
        <v>570</v>
      </c>
      <c r="F2" s="117" t="s">
        <v>823</v>
      </c>
      <c r="G2" s="118" t="n">
        <v>183.6</v>
      </c>
      <c r="H2" s="117" t="n">
        <v>6.6004</v>
      </c>
      <c r="I2" s="117" t="n">
        <v>13.00881</v>
      </c>
      <c r="J2" s="116" t="s">
        <v>34</v>
      </c>
    </row>
    <row r="3" customFormat="false" ht="14.25" hidden="true" customHeight="false" outlineLevel="0" collapsed="false">
      <c r="A3" s="116" t="s">
        <v>190</v>
      </c>
      <c r="B3" s="116" t="n">
        <v>2</v>
      </c>
      <c r="C3" s="117" t="s">
        <v>571</v>
      </c>
      <c r="D3" s="117" t="s">
        <v>35</v>
      </c>
      <c r="E3" s="117" t="s">
        <v>570</v>
      </c>
      <c r="F3" s="117" t="s">
        <v>824</v>
      </c>
      <c r="G3" s="118" t="n">
        <v>81</v>
      </c>
      <c r="H3" s="117" t="n">
        <v>6.61549</v>
      </c>
      <c r="I3" s="117" t="n">
        <v>12.09635</v>
      </c>
      <c r="J3" s="116" t="s">
        <v>34</v>
      </c>
    </row>
    <row r="4" customFormat="false" ht="14.25" hidden="true" customHeight="false" outlineLevel="0" collapsed="false">
      <c r="A4" s="116" t="s">
        <v>190</v>
      </c>
      <c r="B4" s="116" t="n">
        <v>7</v>
      </c>
      <c r="C4" s="117" t="s">
        <v>573</v>
      </c>
      <c r="D4" s="117" t="s">
        <v>35</v>
      </c>
      <c r="E4" s="117" t="s">
        <v>570</v>
      </c>
      <c r="F4" s="117" t="s">
        <v>824</v>
      </c>
      <c r="G4" s="118" t="n">
        <v>32.4</v>
      </c>
      <c r="H4" s="117" t="n">
        <v>6.68185</v>
      </c>
      <c r="I4" s="117" t="n">
        <v>12.02323</v>
      </c>
      <c r="J4" s="116" t="s">
        <v>34</v>
      </c>
    </row>
    <row r="5" customFormat="false" ht="14.25" hidden="true" customHeight="false" outlineLevel="0" collapsed="false">
      <c r="A5" s="116" t="s">
        <v>177</v>
      </c>
      <c r="B5" s="116" t="n">
        <v>1</v>
      </c>
      <c r="C5" s="117" t="s">
        <v>574</v>
      </c>
      <c r="D5" s="117" t="s">
        <v>35</v>
      </c>
      <c r="E5" s="117" t="s">
        <v>570</v>
      </c>
      <c r="F5" s="117" t="s">
        <v>824</v>
      </c>
      <c r="G5" s="118" t="n">
        <v>30</v>
      </c>
      <c r="H5" s="117" t="n">
        <v>6.609216667</v>
      </c>
      <c r="I5" s="117" t="n">
        <v>12.98523333</v>
      </c>
      <c r="J5" s="116" t="s">
        <v>34</v>
      </c>
    </row>
    <row r="6" customFormat="false" ht="14.25" hidden="true" customHeight="false" outlineLevel="0" collapsed="false">
      <c r="A6" s="116" t="s">
        <v>175</v>
      </c>
      <c r="B6" s="116" t="n">
        <v>2</v>
      </c>
      <c r="C6" s="117" t="s">
        <v>575</v>
      </c>
      <c r="D6" s="117" t="s">
        <v>35</v>
      </c>
      <c r="E6" s="117" t="s">
        <v>570</v>
      </c>
      <c r="F6" s="117" t="s">
        <v>824</v>
      </c>
      <c r="G6" s="118" t="n">
        <v>81</v>
      </c>
      <c r="H6" s="117" t="n">
        <v>6.971452</v>
      </c>
      <c r="I6" s="117" t="n">
        <v>12.872891</v>
      </c>
      <c r="J6" s="116" t="s">
        <v>34</v>
      </c>
    </row>
    <row r="7" customFormat="false" ht="14.25" hidden="true" customHeight="false" outlineLevel="0" collapsed="false">
      <c r="A7" s="116" t="s">
        <v>190</v>
      </c>
      <c r="B7" s="116" t="n">
        <v>9</v>
      </c>
      <c r="C7" s="117" t="s">
        <v>576</v>
      </c>
      <c r="D7" s="117" t="s">
        <v>35</v>
      </c>
      <c r="E7" s="117" t="s">
        <v>570</v>
      </c>
      <c r="F7" s="117" t="s">
        <v>824</v>
      </c>
      <c r="G7" s="118" t="n">
        <v>81</v>
      </c>
      <c r="H7" s="117" t="n">
        <v>6.59072</v>
      </c>
      <c r="I7" s="117" t="n">
        <v>12.249</v>
      </c>
      <c r="J7" s="116" t="s">
        <v>34</v>
      </c>
    </row>
    <row r="8" customFormat="false" ht="14.25" hidden="true" customHeight="false" outlineLevel="0" collapsed="false">
      <c r="A8" s="116" t="s">
        <v>175</v>
      </c>
      <c r="B8" s="116" t="n">
        <v>5</v>
      </c>
      <c r="C8" s="117" t="s">
        <v>584</v>
      </c>
      <c r="D8" s="117" t="s">
        <v>35</v>
      </c>
      <c r="E8" s="117" t="s">
        <v>577</v>
      </c>
      <c r="F8" s="117" t="s">
        <v>817</v>
      </c>
      <c r="G8" s="118" t="n">
        <v>54</v>
      </c>
      <c r="H8" s="117" t="n">
        <v>7.052538</v>
      </c>
      <c r="I8" s="117" t="n">
        <v>12.523423</v>
      </c>
      <c r="J8" s="116" t="s">
        <v>34</v>
      </c>
    </row>
    <row r="9" customFormat="false" ht="14.25" hidden="true" customHeight="false" outlineLevel="0" collapsed="false">
      <c r="A9" s="116" t="s">
        <v>190</v>
      </c>
      <c r="B9" s="116" t="n">
        <v>5</v>
      </c>
      <c r="C9" s="117" t="s">
        <v>579</v>
      </c>
      <c r="D9" s="117" t="s">
        <v>35</v>
      </c>
      <c r="E9" s="117" t="s">
        <v>577</v>
      </c>
      <c r="F9" s="117" t="s">
        <v>581</v>
      </c>
      <c r="G9" s="118" t="n">
        <v>183.6</v>
      </c>
      <c r="H9" s="117" t="n">
        <v>7.01107</v>
      </c>
      <c r="I9" s="117" t="n">
        <v>12.65258</v>
      </c>
      <c r="J9" s="116" t="s">
        <v>34</v>
      </c>
    </row>
    <row r="10" customFormat="false" ht="14.25" hidden="true" customHeight="false" outlineLevel="0" collapsed="false">
      <c r="A10" s="116" t="s">
        <v>177</v>
      </c>
      <c r="B10" s="116" t="n">
        <v>8</v>
      </c>
      <c r="C10" s="117" t="s">
        <v>581</v>
      </c>
      <c r="D10" s="117" t="s">
        <v>35</v>
      </c>
      <c r="E10" s="117" t="s">
        <v>577</v>
      </c>
      <c r="F10" s="117" t="s">
        <v>818</v>
      </c>
      <c r="G10" s="118" t="n">
        <v>80</v>
      </c>
      <c r="H10" s="117" t="n">
        <v>7.1074</v>
      </c>
      <c r="I10" s="117" t="n">
        <v>12.4704</v>
      </c>
      <c r="J10" s="116" t="s">
        <v>34</v>
      </c>
    </row>
    <row r="11" customFormat="false" ht="14.25" hidden="true" customHeight="false" outlineLevel="0" collapsed="false">
      <c r="A11" s="116" t="s">
        <v>175</v>
      </c>
      <c r="B11" s="116" t="n">
        <v>12</v>
      </c>
      <c r="C11" s="117" t="s">
        <v>580</v>
      </c>
      <c r="D11" s="117" t="s">
        <v>35</v>
      </c>
      <c r="E11" s="117" t="s">
        <v>577</v>
      </c>
      <c r="F11" s="117" t="s">
        <v>819</v>
      </c>
      <c r="G11" s="118" t="n">
        <v>32.4</v>
      </c>
      <c r="H11" s="117" t="n">
        <v>7.955817</v>
      </c>
      <c r="I11" s="117" t="n">
        <v>12.252276</v>
      </c>
      <c r="J11" s="116" t="s">
        <v>34</v>
      </c>
    </row>
    <row r="12" customFormat="false" ht="14.25" hidden="true" customHeight="false" outlineLevel="0" collapsed="false">
      <c r="A12" s="116" t="s">
        <v>177</v>
      </c>
      <c r="B12" s="116" t="n">
        <v>18</v>
      </c>
      <c r="C12" s="117" t="s">
        <v>578</v>
      </c>
      <c r="D12" s="117" t="s">
        <v>35</v>
      </c>
      <c r="E12" s="117" t="s">
        <v>577</v>
      </c>
      <c r="F12" s="117" t="s">
        <v>820</v>
      </c>
      <c r="G12" s="118" t="n">
        <v>80</v>
      </c>
      <c r="H12" s="117" t="n">
        <v>7.8227</v>
      </c>
      <c r="I12" s="117" t="n">
        <v>12.4893</v>
      </c>
      <c r="J12" s="116" t="s">
        <v>34</v>
      </c>
    </row>
    <row r="13" customFormat="false" ht="14.25" hidden="true" customHeight="false" outlineLevel="0" collapsed="false">
      <c r="A13" s="116" t="s">
        <v>177</v>
      </c>
      <c r="B13" s="116" t="n">
        <v>7</v>
      </c>
      <c r="C13" s="117" t="s">
        <v>585</v>
      </c>
      <c r="D13" s="117" t="s">
        <v>35</v>
      </c>
      <c r="E13" s="117" t="s">
        <v>577</v>
      </c>
      <c r="F13" s="117" t="s">
        <v>820</v>
      </c>
      <c r="G13" s="118" t="n">
        <v>80</v>
      </c>
      <c r="H13" s="117" t="n">
        <v>7.668816667</v>
      </c>
      <c r="I13" s="117" t="n">
        <v>12.3261</v>
      </c>
      <c r="J13" s="116" t="s">
        <v>34</v>
      </c>
    </row>
    <row r="14" customFormat="false" ht="14.25" hidden="true" customHeight="false" outlineLevel="0" collapsed="false">
      <c r="A14" s="116" t="s">
        <v>175</v>
      </c>
      <c r="B14" s="116" t="n">
        <v>11</v>
      </c>
      <c r="C14" s="117" t="s">
        <v>582</v>
      </c>
      <c r="D14" s="117" t="s">
        <v>35</v>
      </c>
      <c r="E14" s="117" t="s">
        <v>577</v>
      </c>
      <c r="F14" s="117" t="s">
        <v>821</v>
      </c>
      <c r="G14" s="118" t="n">
        <v>140.4</v>
      </c>
      <c r="H14" s="117" t="n">
        <v>7.201025</v>
      </c>
      <c r="I14" s="117" t="n">
        <v>12.56686</v>
      </c>
      <c r="J14" s="116" t="s">
        <v>34</v>
      </c>
    </row>
    <row r="15" customFormat="false" ht="14.25" hidden="true" customHeight="false" outlineLevel="0" collapsed="false">
      <c r="A15" s="116" t="s">
        <v>177</v>
      </c>
      <c r="B15" s="116" t="n">
        <v>19</v>
      </c>
      <c r="C15" s="117" t="s">
        <v>583</v>
      </c>
      <c r="D15" s="117" t="s">
        <v>35</v>
      </c>
      <c r="E15" s="117" t="s">
        <v>577</v>
      </c>
      <c r="F15" s="117" t="s">
        <v>822</v>
      </c>
      <c r="G15" s="118" t="n">
        <v>80</v>
      </c>
      <c r="H15" s="117" t="n">
        <v>7.384383333</v>
      </c>
      <c r="I15" s="117" t="n">
        <v>13.00193333</v>
      </c>
      <c r="J15" s="116" t="s">
        <v>34</v>
      </c>
    </row>
    <row r="16" customFormat="false" ht="14.25" hidden="true" customHeight="false" outlineLevel="0" collapsed="false">
      <c r="A16" s="116" t="s">
        <v>177</v>
      </c>
      <c r="B16" s="116" t="n">
        <v>24</v>
      </c>
      <c r="C16" s="117" t="s">
        <v>607</v>
      </c>
      <c r="D16" s="117" t="s">
        <v>35</v>
      </c>
      <c r="E16" s="117" t="s">
        <v>586</v>
      </c>
      <c r="F16" s="117" t="s">
        <v>812</v>
      </c>
      <c r="G16" s="118" t="n">
        <v>100</v>
      </c>
      <c r="H16" s="117" t="n">
        <v>6.46433</v>
      </c>
      <c r="I16" s="117" t="n">
        <v>11.24681</v>
      </c>
      <c r="J16" s="116" t="s">
        <v>34</v>
      </c>
    </row>
    <row r="17" customFormat="false" ht="14.25" hidden="true" customHeight="false" outlineLevel="0" collapsed="false">
      <c r="A17" s="116" t="s">
        <v>177</v>
      </c>
      <c r="B17" s="116" t="n">
        <v>5</v>
      </c>
      <c r="C17" s="117" t="s">
        <v>588</v>
      </c>
      <c r="D17" s="117" t="s">
        <v>35</v>
      </c>
      <c r="E17" s="117" t="s">
        <v>586</v>
      </c>
      <c r="F17" s="117" t="s">
        <v>813</v>
      </c>
      <c r="G17" s="118" t="n">
        <v>80</v>
      </c>
      <c r="H17" s="117" t="n">
        <v>6.46402</v>
      </c>
      <c r="I17" s="117" t="n">
        <v>11.29997</v>
      </c>
      <c r="J17" s="116" t="s">
        <v>34</v>
      </c>
    </row>
    <row r="18" customFormat="false" ht="14.25" hidden="true" customHeight="false" outlineLevel="0" collapsed="false">
      <c r="A18" s="116" t="s">
        <v>175</v>
      </c>
      <c r="B18" s="116" t="n">
        <v>8</v>
      </c>
      <c r="C18" s="117" t="s">
        <v>590</v>
      </c>
      <c r="D18" s="117" t="s">
        <v>35</v>
      </c>
      <c r="E18" s="117" t="s">
        <v>586</v>
      </c>
      <c r="F18" s="117" t="s">
        <v>813</v>
      </c>
      <c r="G18" s="118" t="n">
        <v>54</v>
      </c>
      <c r="H18" s="117" t="n">
        <v>6.391472</v>
      </c>
      <c r="I18" s="117" t="n">
        <v>11.428771</v>
      </c>
      <c r="J18" s="116" t="s">
        <v>34</v>
      </c>
    </row>
    <row r="19" customFormat="false" ht="14.25" hidden="true" customHeight="false" outlineLevel="0" collapsed="false">
      <c r="A19" s="116" t="s">
        <v>190</v>
      </c>
      <c r="B19" s="116" t="n">
        <v>12</v>
      </c>
      <c r="C19" s="117" t="s">
        <v>591</v>
      </c>
      <c r="D19" s="117" t="s">
        <v>35</v>
      </c>
      <c r="E19" s="117" t="s">
        <v>586</v>
      </c>
      <c r="F19" s="117" t="s">
        <v>813</v>
      </c>
      <c r="G19" s="118" t="n">
        <v>54</v>
      </c>
      <c r="H19" s="117" t="n">
        <v>6.42502</v>
      </c>
      <c r="I19" s="117" t="n">
        <v>11.38781</v>
      </c>
      <c r="J19" s="116" t="s">
        <v>34</v>
      </c>
    </row>
    <row r="20" customFormat="false" ht="14.25" hidden="true" customHeight="false" outlineLevel="0" collapsed="false">
      <c r="A20" s="116" t="s">
        <v>177</v>
      </c>
      <c r="B20" s="116" t="n">
        <v>6</v>
      </c>
      <c r="C20" s="117" t="s">
        <v>592</v>
      </c>
      <c r="D20" s="117" t="s">
        <v>35</v>
      </c>
      <c r="E20" s="117" t="s">
        <v>586</v>
      </c>
      <c r="F20" s="117" t="s">
        <v>813</v>
      </c>
      <c r="G20" s="118" t="n">
        <v>80</v>
      </c>
      <c r="H20" s="117" t="n">
        <v>6.41628</v>
      </c>
      <c r="I20" s="117" t="n">
        <v>11.36152</v>
      </c>
      <c r="J20" s="116" t="s">
        <v>34</v>
      </c>
    </row>
    <row r="21" customFormat="false" ht="14.25" hidden="true" customHeight="false" outlineLevel="0" collapsed="false">
      <c r="A21" s="116" t="s">
        <v>190</v>
      </c>
      <c r="B21" s="116" t="n">
        <v>16</v>
      </c>
      <c r="C21" s="117" t="s">
        <v>598</v>
      </c>
      <c r="D21" s="117" t="s">
        <v>35</v>
      </c>
      <c r="E21" s="117" t="s">
        <v>586</v>
      </c>
      <c r="F21" s="117" t="s">
        <v>813</v>
      </c>
      <c r="G21" s="118" t="n">
        <v>54</v>
      </c>
      <c r="H21" s="117" t="n">
        <v>6.41821</v>
      </c>
      <c r="I21" s="117" t="n">
        <v>11.24107</v>
      </c>
      <c r="J21" s="116" t="s">
        <v>34</v>
      </c>
    </row>
    <row r="22" customFormat="false" ht="14.25" hidden="true" customHeight="false" outlineLevel="0" collapsed="false">
      <c r="A22" s="116" t="s">
        <v>175</v>
      </c>
      <c r="B22" s="116" t="n">
        <v>4</v>
      </c>
      <c r="C22" s="117" t="s">
        <v>599</v>
      </c>
      <c r="D22" s="117" t="s">
        <v>35</v>
      </c>
      <c r="E22" s="117" t="s">
        <v>586</v>
      </c>
      <c r="F22" s="117" t="s">
        <v>813</v>
      </c>
      <c r="G22" s="118" t="n">
        <v>97.2</v>
      </c>
      <c r="H22" s="117" t="n">
        <v>6.17785</v>
      </c>
      <c r="I22" s="117" t="n">
        <v>11.568377</v>
      </c>
      <c r="J22" s="116" t="s">
        <v>34</v>
      </c>
    </row>
    <row r="23" customFormat="false" ht="14.25" hidden="true" customHeight="false" outlineLevel="0" collapsed="false">
      <c r="A23" s="116" t="s">
        <v>175</v>
      </c>
      <c r="B23" s="116" t="n">
        <v>10</v>
      </c>
      <c r="C23" s="117" t="s">
        <v>603</v>
      </c>
      <c r="D23" s="117" t="s">
        <v>35</v>
      </c>
      <c r="E23" s="117" t="s">
        <v>586</v>
      </c>
      <c r="F23" s="117" t="s">
        <v>813</v>
      </c>
      <c r="G23" s="118" t="n">
        <v>54</v>
      </c>
      <c r="H23" s="117" t="n">
        <v>6.436904</v>
      </c>
      <c r="I23" s="117" t="n">
        <v>11.40322</v>
      </c>
      <c r="J23" s="116" t="s">
        <v>34</v>
      </c>
    </row>
    <row r="24" customFormat="false" ht="14.25" hidden="true" customHeight="false" outlineLevel="0" collapsed="false">
      <c r="A24" s="116" t="s">
        <v>177</v>
      </c>
      <c r="B24" s="116" t="n">
        <v>25</v>
      </c>
      <c r="C24" s="117" t="s">
        <v>604</v>
      </c>
      <c r="D24" s="117" t="s">
        <v>35</v>
      </c>
      <c r="E24" s="117" t="s">
        <v>586</v>
      </c>
      <c r="F24" s="117" t="s">
        <v>813</v>
      </c>
      <c r="G24" s="118" t="n">
        <v>100</v>
      </c>
      <c r="H24" s="117" t="n">
        <v>6.45619</v>
      </c>
      <c r="I24" s="117" t="n">
        <v>11.43149</v>
      </c>
      <c r="J24" s="116" t="s">
        <v>34</v>
      </c>
    </row>
    <row r="25" customFormat="false" ht="14.25" hidden="true" customHeight="false" outlineLevel="0" collapsed="false">
      <c r="A25" s="116" t="s">
        <v>177</v>
      </c>
      <c r="B25" s="116" t="n">
        <v>4</v>
      </c>
      <c r="C25" s="117" t="s">
        <v>605</v>
      </c>
      <c r="D25" s="117" t="s">
        <v>35</v>
      </c>
      <c r="E25" s="117" t="s">
        <v>586</v>
      </c>
      <c r="F25" s="117" t="s">
        <v>813</v>
      </c>
      <c r="G25" s="118" t="n">
        <v>80</v>
      </c>
      <c r="H25" s="117" t="n">
        <v>6.40695</v>
      </c>
      <c r="I25" s="117" t="n">
        <v>11.32006</v>
      </c>
      <c r="J25" s="116" t="s">
        <v>34</v>
      </c>
    </row>
    <row r="26" customFormat="false" ht="14.25" hidden="true" customHeight="false" outlineLevel="0" collapsed="false">
      <c r="A26" s="116" t="s">
        <v>190</v>
      </c>
      <c r="B26" s="116" t="n">
        <v>18</v>
      </c>
      <c r="C26" s="117" t="s">
        <v>606</v>
      </c>
      <c r="D26" s="117" t="s">
        <v>35</v>
      </c>
      <c r="E26" s="117" t="s">
        <v>586</v>
      </c>
      <c r="F26" s="117" t="s">
        <v>813</v>
      </c>
      <c r="G26" s="118" t="n">
        <v>97.2</v>
      </c>
      <c r="H26" s="117" t="n">
        <v>6.36622</v>
      </c>
      <c r="I26" s="117" t="n">
        <v>11.48799</v>
      </c>
      <c r="J26" s="116" t="s">
        <v>34</v>
      </c>
    </row>
    <row r="27" customFormat="false" ht="14.25" hidden="true" customHeight="false" outlineLevel="0" collapsed="false">
      <c r="A27" s="116" t="s">
        <v>177</v>
      </c>
      <c r="B27" s="116" t="n">
        <v>20</v>
      </c>
      <c r="C27" s="117" t="s">
        <v>587</v>
      </c>
      <c r="D27" s="117" t="s">
        <v>35</v>
      </c>
      <c r="E27" s="117" t="s">
        <v>586</v>
      </c>
      <c r="F27" s="117" t="s">
        <v>814</v>
      </c>
      <c r="G27" s="118" t="n">
        <v>80</v>
      </c>
      <c r="H27" s="117" t="n">
        <v>6.66667</v>
      </c>
      <c r="I27" s="117" t="n">
        <v>11.71719</v>
      </c>
      <c r="J27" s="116" t="s">
        <v>34</v>
      </c>
    </row>
    <row r="28" customFormat="false" ht="14.25" hidden="true" customHeight="false" outlineLevel="0" collapsed="false">
      <c r="A28" s="116" t="s">
        <v>190</v>
      </c>
      <c r="B28" s="116" t="n">
        <v>11</v>
      </c>
      <c r="C28" s="117" t="s">
        <v>589</v>
      </c>
      <c r="D28" s="117" t="s">
        <v>35</v>
      </c>
      <c r="E28" s="117" t="s">
        <v>586</v>
      </c>
      <c r="F28" s="117" t="s">
        <v>814</v>
      </c>
      <c r="G28" s="118" t="n">
        <v>81</v>
      </c>
      <c r="H28" s="117" t="n">
        <v>6.84852</v>
      </c>
      <c r="I28" s="117" t="n">
        <v>11.616</v>
      </c>
      <c r="J28" s="116" t="s">
        <v>34</v>
      </c>
    </row>
    <row r="29" customFormat="false" ht="14.25" hidden="true" customHeight="false" outlineLevel="0" collapsed="false">
      <c r="A29" s="116" t="s">
        <v>190</v>
      </c>
      <c r="B29" s="116" t="n">
        <v>15</v>
      </c>
      <c r="C29" s="117" t="s">
        <v>596</v>
      </c>
      <c r="D29" s="117" t="s">
        <v>35</v>
      </c>
      <c r="E29" s="117" t="s">
        <v>586</v>
      </c>
      <c r="F29" s="117" t="s">
        <v>814</v>
      </c>
      <c r="G29" s="118" t="n">
        <v>32.4</v>
      </c>
      <c r="H29" s="117" t="n">
        <v>7.16396</v>
      </c>
      <c r="I29" s="117" t="n">
        <v>12.03357</v>
      </c>
      <c r="J29" s="116" t="s">
        <v>34</v>
      </c>
    </row>
    <row r="30" customFormat="false" ht="14.25" hidden="true" customHeight="false" outlineLevel="0" collapsed="false">
      <c r="A30" s="116" t="s">
        <v>177</v>
      </c>
      <c r="B30" s="116" t="n">
        <v>15</v>
      </c>
      <c r="C30" s="117" t="s">
        <v>597</v>
      </c>
      <c r="D30" s="117" t="s">
        <v>35</v>
      </c>
      <c r="E30" s="117" t="s">
        <v>586</v>
      </c>
      <c r="F30" s="117" t="s">
        <v>814</v>
      </c>
      <c r="G30" s="118" t="n">
        <v>80</v>
      </c>
      <c r="H30" s="117" t="n">
        <v>6.99242</v>
      </c>
      <c r="I30" s="117" t="n">
        <v>11.96718</v>
      </c>
      <c r="J30" s="116" t="s">
        <v>34</v>
      </c>
    </row>
    <row r="31" customFormat="false" ht="14.25" hidden="true" customHeight="false" outlineLevel="0" collapsed="false">
      <c r="A31" s="116" t="s">
        <v>177</v>
      </c>
      <c r="B31" s="116" t="n">
        <v>21</v>
      </c>
      <c r="C31" s="117" t="s">
        <v>573</v>
      </c>
      <c r="D31" s="117" t="s">
        <v>35</v>
      </c>
      <c r="E31" s="117" t="s">
        <v>586</v>
      </c>
      <c r="F31" s="117" t="s">
        <v>814</v>
      </c>
      <c r="G31" s="118" t="n">
        <v>80</v>
      </c>
      <c r="H31" s="117" t="n">
        <v>6.68607</v>
      </c>
      <c r="I31" s="117" t="n">
        <v>12.00742</v>
      </c>
      <c r="J31" s="116" t="s">
        <v>34</v>
      </c>
    </row>
    <row r="32" customFormat="false" ht="14.25" hidden="true" customHeight="false" outlineLevel="0" collapsed="false">
      <c r="A32" s="116" t="s">
        <v>190</v>
      </c>
      <c r="B32" s="116" t="n">
        <v>17</v>
      </c>
      <c r="C32" s="117" t="s">
        <v>600</v>
      </c>
      <c r="D32" s="117" t="s">
        <v>35</v>
      </c>
      <c r="E32" s="117" t="s">
        <v>586</v>
      </c>
      <c r="F32" s="117" t="s">
        <v>814</v>
      </c>
      <c r="G32" s="118" t="n">
        <v>54</v>
      </c>
      <c r="H32" s="117" t="n">
        <v>6.83344</v>
      </c>
      <c r="I32" s="117" t="n">
        <v>11.70576</v>
      </c>
      <c r="J32" s="116" t="s">
        <v>34</v>
      </c>
    </row>
    <row r="33" customFormat="false" ht="14.25" hidden="true" customHeight="false" outlineLevel="0" collapsed="false">
      <c r="A33" s="116" t="s">
        <v>177</v>
      </c>
      <c r="B33" s="116" t="n">
        <v>13</v>
      </c>
      <c r="C33" s="117" t="s">
        <v>601</v>
      </c>
      <c r="D33" s="117" t="s">
        <v>35</v>
      </c>
      <c r="E33" s="117" t="s">
        <v>586</v>
      </c>
      <c r="F33" s="117" t="s">
        <v>814</v>
      </c>
      <c r="G33" s="118" t="n">
        <v>80</v>
      </c>
      <c r="H33" s="117" t="n">
        <v>6.5155</v>
      </c>
      <c r="I33" s="117" t="n">
        <v>11.44945</v>
      </c>
      <c r="J33" s="116" t="s">
        <v>34</v>
      </c>
    </row>
    <row r="34" customFormat="false" ht="14.25" hidden="true" customHeight="false" outlineLevel="0" collapsed="false">
      <c r="A34" s="116" t="s">
        <v>177</v>
      </c>
      <c r="B34" s="116" t="n">
        <v>3</v>
      </c>
      <c r="C34" s="117" t="s">
        <v>602</v>
      </c>
      <c r="D34" s="117" t="s">
        <v>35</v>
      </c>
      <c r="E34" s="117" t="s">
        <v>586</v>
      </c>
      <c r="F34" s="117" t="s">
        <v>814</v>
      </c>
      <c r="G34" s="118" t="n">
        <v>80</v>
      </c>
      <c r="H34" s="117" t="n">
        <v>7.08869</v>
      </c>
      <c r="I34" s="117" t="n">
        <v>11.98076</v>
      </c>
      <c r="J34" s="116" t="s">
        <v>34</v>
      </c>
    </row>
    <row r="35" customFormat="false" ht="14.25" hidden="true" customHeight="false" outlineLevel="0" collapsed="false">
      <c r="A35" s="116" t="s">
        <v>177</v>
      </c>
      <c r="B35" s="116" t="n">
        <v>14</v>
      </c>
      <c r="C35" s="117" t="s">
        <v>593</v>
      </c>
      <c r="D35" s="117" t="s">
        <v>35</v>
      </c>
      <c r="E35" s="117" t="s">
        <v>586</v>
      </c>
      <c r="F35" s="117" t="s">
        <v>815</v>
      </c>
      <c r="G35" s="118" t="n">
        <v>80</v>
      </c>
      <c r="H35" s="117" t="n">
        <v>6.48889</v>
      </c>
      <c r="I35" s="117" t="n">
        <v>11.56194</v>
      </c>
      <c r="J35" s="116" t="s">
        <v>34</v>
      </c>
    </row>
    <row r="36" customFormat="false" ht="14.25" hidden="true" customHeight="false" outlineLevel="0" collapsed="false">
      <c r="A36" s="116" t="s">
        <v>190</v>
      </c>
      <c r="B36" s="116" t="n">
        <v>13</v>
      </c>
      <c r="C36" s="117" t="s">
        <v>594</v>
      </c>
      <c r="D36" s="117" t="s">
        <v>35</v>
      </c>
      <c r="E36" s="117" t="s">
        <v>586</v>
      </c>
      <c r="F36" s="117" t="s">
        <v>815</v>
      </c>
      <c r="G36" s="118" t="n">
        <v>140.4</v>
      </c>
      <c r="H36" s="117" t="n">
        <v>6.50659</v>
      </c>
      <c r="I36" s="117" t="n">
        <v>11.55615</v>
      </c>
      <c r="J36" s="116" t="s">
        <v>34</v>
      </c>
    </row>
    <row r="37" customFormat="false" ht="14.25" hidden="true" customHeight="false" outlineLevel="0" collapsed="false">
      <c r="A37" s="116" t="s">
        <v>190</v>
      </c>
      <c r="B37" s="116" t="n">
        <v>14</v>
      </c>
      <c r="C37" s="117" t="s">
        <v>595</v>
      </c>
      <c r="D37" s="117" t="s">
        <v>35</v>
      </c>
      <c r="E37" s="117" t="s">
        <v>586</v>
      </c>
      <c r="F37" s="117" t="s">
        <v>815</v>
      </c>
      <c r="G37" s="118" t="n">
        <v>81</v>
      </c>
      <c r="H37" s="117" t="n">
        <v>6.42186</v>
      </c>
      <c r="I37" s="117" t="n">
        <v>11.56811</v>
      </c>
      <c r="J37" s="116" t="s">
        <v>34</v>
      </c>
    </row>
    <row r="38" customFormat="false" ht="14.25" hidden="true" customHeight="false" outlineLevel="0" collapsed="false">
      <c r="A38" s="116" t="s">
        <v>190</v>
      </c>
      <c r="B38" s="116" t="n">
        <v>1</v>
      </c>
      <c r="C38" s="117" t="s">
        <v>609</v>
      </c>
      <c r="D38" s="117" t="s">
        <v>35</v>
      </c>
      <c r="E38" s="117" t="s">
        <v>608</v>
      </c>
      <c r="F38" s="117" t="s">
        <v>613</v>
      </c>
      <c r="G38" s="118" t="n">
        <v>81</v>
      </c>
      <c r="H38" s="117" t="n">
        <v>6.42276</v>
      </c>
      <c r="I38" s="117" t="n">
        <v>13.38812</v>
      </c>
      <c r="J38" s="116" t="s">
        <v>34</v>
      </c>
    </row>
    <row r="39" customFormat="false" ht="14.25" hidden="true" customHeight="false" outlineLevel="0" collapsed="false">
      <c r="A39" s="116" t="s">
        <v>177</v>
      </c>
      <c r="B39" s="116" t="n">
        <v>22</v>
      </c>
      <c r="C39" s="117" t="s">
        <v>613</v>
      </c>
      <c r="D39" s="117" t="s">
        <v>35</v>
      </c>
      <c r="E39" s="117" t="s">
        <v>608</v>
      </c>
      <c r="F39" s="117" t="s">
        <v>613</v>
      </c>
      <c r="G39" s="118" t="n">
        <v>100</v>
      </c>
      <c r="H39" s="117" t="n">
        <v>6.327783333</v>
      </c>
      <c r="I39" s="117" t="n">
        <v>13.53756667</v>
      </c>
      <c r="J39" s="116" t="s">
        <v>34</v>
      </c>
    </row>
    <row r="40" customFormat="false" ht="14.25" hidden="true" customHeight="false" outlineLevel="0" collapsed="false">
      <c r="A40" s="116" t="s">
        <v>190</v>
      </c>
      <c r="B40" s="116" t="n">
        <v>4</v>
      </c>
      <c r="C40" s="117" t="s">
        <v>615</v>
      </c>
      <c r="D40" s="117" t="s">
        <v>35</v>
      </c>
      <c r="E40" s="117" t="s">
        <v>608</v>
      </c>
      <c r="F40" s="117" t="s">
        <v>613</v>
      </c>
      <c r="G40" s="118" t="n">
        <v>81</v>
      </c>
      <c r="H40" s="117" t="n">
        <v>6.6476</v>
      </c>
      <c r="I40" s="117" t="n">
        <v>14.01764</v>
      </c>
      <c r="J40" s="116" t="s">
        <v>34</v>
      </c>
    </row>
    <row r="41" customFormat="false" ht="14.25" hidden="true" customHeight="false" outlineLevel="0" collapsed="false">
      <c r="A41" s="116" t="s">
        <v>177</v>
      </c>
      <c r="B41" s="116" t="n">
        <v>11</v>
      </c>
      <c r="C41" s="117" t="s">
        <v>614</v>
      </c>
      <c r="D41" s="117" t="s">
        <v>35</v>
      </c>
      <c r="E41" s="117" t="s">
        <v>608</v>
      </c>
      <c r="F41" s="117" t="s">
        <v>614</v>
      </c>
      <c r="G41" s="118" t="n">
        <v>80</v>
      </c>
      <c r="H41" s="117" t="n">
        <v>6.833033333</v>
      </c>
      <c r="I41" s="117" t="n">
        <v>14.69221667</v>
      </c>
      <c r="J41" s="116" t="s">
        <v>34</v>
      </c>
    </row>
    <row r="42" customFormat="false" ht="14.25" hidden="true" customHeight="false" outlineLevel="0" collapsed="false">
      <c r="A42" s="116" t="s">
        <v>175</v>
      </c>
      <c r="B42" s="116" t="n">
        <v>6</v>
      </c>
      <c r="C42" s="117" t="s">
        <v>616</v>
      </c>
      <c r="D42" s="117" t="s">
        <v>35</v>
      </c>
      <c r="E42" s="117" t="s">
        <v>608</v>
      </c>
      <c r="F42" s="117" t="s">
        <v>614</v>
      </c>
      <c r="G42" s="118" t="n">
        <v>54</v>
      </c>
      <c r="H42" s="117" t="n">
        <v>6.745935</v>
      </c>
      <c r="I42" s="117" t="n">
        <v>14.602359</v>
      </c>
      <c r="J42" s="116" t="s">
        <v>34</v>
      </c>
    </row>
    <row r="43" customFormat="false" ht="14.25" hidden="true" customHeight="false" outlineLevel="0" collapsed="false">
      <c r="A43" s="116" t="s">
        <v>177</v>
      </c>
      <c r="B43" s="116" t="n">
        <v>12</v>
      </c>
      <c r="C43" s="117" t="s">
        <v>621</v>
      </c>
      <c r="D43" s="117" t="s">
        <v>35</v>
      </c>
      <c r="E43" s="117" t="s">
        <v>608</v>
      </c>
      <c r="F43" s="117" t="s">
        <v>614</v>
      </c>
      <c r="G43" s="118" t="n">
        <v>80</v>
      </c>
      <c r="H43" s="117" t="n">
        <v>7.010366667</v>
      </c>
      <c r="I43" s="117" t="n">
        <v>14.9623</v>
      </c>
      <c r="J43" s="116" t="s">
        <v>34</v>
      </c>
    </row>
    <row r="44" customFormat="false" ht="14.25" hidden="true" customHeight="false" outlineLevel="0" collapsed="false">
      <c r="A44" s="116" t="s">
        <v>177</v>
      </c>
      <c r="B44" s="116" t="n">
        <v>17</v>
      </c>
      <c r="C44" s="117" t="s">
        <v>610</v>
      </c>
      <c r="D44" s="117" t="s">
        <v>35</v>
      </c>
      <c r="E44" s="117" t="s">
        <v>608</v>
      </c>
      <c r="F44" s="117" t="s">
        <v>816</v>
      </c>
      <c r="G44" s="118" t="n">
        <v>80</v>
      </c>
      <c r="H44" s="117" t="n">
        <v>6.313133333</v>
      </c>
      <c r="I44" s="117" t="n">
        <v>14.72355</v>
      </c>
      <c r="J44" s="116" t="s">
        <v>34</v>
      </c>
    </row>
    <row r="45" customFormat="false" ht="14.25" hidden="true" customHeight="false" outlineLevel="0" collapsed="false">
      <c r="A45" s="116" t="s">
        <v>177</v>
      </c>
      <c r="B45" s="116" t="n">
        <v>23</v>
      </c>
      <c r="C45" s="117" t="s">
        <v>611</v>
      </c>
      <c r="D45" s="117" t="s">
        <v>35</v>
      </c>
      <c r="E45" s="117" t="s">
        <v>608</v>
      </c>
      <c r="F45" s="117" t="s">
        <v>816</v>
      </c>
      <c r="G45" s="118" t="n">
        <v>100</v>
      </c>
      <c r="H45" s="117" t="n">
        <v>6.129199</v>
      </c>
      <c r="I45" s="117" t="n">
        <v>14.363198</v>
      </c>
      <c r="J45" s="116" t="s">
        <v>34</v>
      </c>
    </row>
    <row r="46" customFormat="false" ht="14.25" hidden="true" customHeight="false" outlineLevel="0" collapsed="false">
      <c r="A46" s="116" t="s">
        <v>175</v>
      </c>
      <c r="B46" s="116" t="n">
        <v>7</v>
      </c>
      <c r="C46" s="117" t="s">
        <v>617</v>
      </c>
      <c r="D46" s="117" t="s">
        <v>35</v>
      </c>
      <c r="E46" s="117" t="s">
        <v>608</v>
      </c>
      <c r="F46" s="117" t="s">
        <v>816</v>
      </c>
      <c r="G46" s="118" t="n">
        <v>81</v>
      </c>
      <c r="H46" s="117" t="n">
        <v>6.272934</v>
      </c>
      <c r="I46" s="117" t="n">
        <v>14.355483</v>
      </c>
      <c r="J46" s="116" t="s">
        <v>34</v>
      </c>
    </row>
    <row r="47" customFormat="false" ht="14.25" hidden="true" customHeight="false" outlineLevel="0" collapsed="false">
      <c r="A47" s="116" t="s">
        <v>190</v>
      </c>
      <c r="B47" s="116" t="n">
        <v>8</v>
      </c>
      <c r="C47" s="117" t="s">
        <v>619</v>
      </c>
      <c r="D47" s="117" t="s">
        <v>35</v>
      </c>
      <c r="E47" s="117" t="s">
        <v>608</v>
      </c>
      <c r="F47" s="117" t="s">
        <v>816</v>
      </c>
      <c r="G47" s="118" t="n">
        <v>81</v>
      </c>
      <c r="H47" s="117" t="n">
        <v>6.69589</v>
      </c>
      <c r="I47" s="117" t="n">
        <v>13.9814</v>
      </c>
      <c r="J47" s="116" t="s">
        <v>34</v>
      </c>
    </row>
    <row r="48" customFormat="false" ht="14.25" hidden="true" customHeight="false" outlineLevel="0" collapsed="false">
      <c r="A48" s="116" t="s">
        <v>177</v>
      </c>
      <c r="B48" s="116" t="n">
        <v>2</v>
      </c>
      <c r="C48" s="117" t="s">
        <v>612</v>
      </c>
      <c r="D48" s="117" t="s">
        <v>35</v>
      </c>
      <c r="E48" s="117" t="s">
        <v>608</v>
      </c>
      <c r="F48" s="117" t="s">
        <v>620</v>
      </c>
      <c r="G48" s="118" t="n">
        <v>30</v>
      </c>
      <c r="H48" s="117" t="n">
        <v>6.792683333</v>
      </c>
      <c r="I48" s="117" t="n">
        <v>15.01855</v>
      </c>
      <c r="J48" s="116" t="s">
        <v>34</v>
      </c>
    </row>
    <row r="49" customFormat="false" ht="14.25" hidden="true" customHeight="false" outlineLevel="0" collapsed="false">
      <c r="A49" s="116" t="s">
        <v>175</v>
      </c>
      <c r="B49" s="116" t="n">
        <v>1</v>
      </c>
      <c r="C49" s="117" t="s">
        <v>618</v>
      </c>
      <c r="D49" s="117" t="s">
        <v>35</v>
      </c>
      <c r="E49" s="117" t="s">
        <v>608</v>
      </c>
      <c r="F49" s="117" t="s">
        <v>620</v>
      </c>
      <c r="G49" s="118" t="n">
        <v>81</v>
      </c>
      <c r="H49" s="117" t="n">
        <v>6.81634</v>
      </c>
      <c r="I49" s="117" t="n">
        <v>14.892158</v>
      </c>
      <c r="J49" s="116" t="s">
        <v>34</v>
      </c>
    </row>
    <row r="50" customFormat="false" ht="14.25" hidden="true" customHeight="false" outlineLevel="0" collapsed="false">
      <c r="A50" s="116" t="s">
        <v>177</v>
      </c>
      <c r="B50" s="116" t="n">
        <v>10</v>
      </c>
      <c r="C50" s="117" t="s">
        <v>620</v>
      </c>
      <c r="D50" s="117" t="s">
        <v>35</v>
      </c>
      <c r="E50" s="117" t="s">
        <v>608</v>
      </c>
      <c r="F50" s="117" t="s">
        <v>620</v>
      </c>
      <c r="G50" s="118" t="n">
        <v>80</v>
      </c>
      <c r="H50" s="117" t="n">
        <v>6.747966667</v>
      </c>
      <c r="I50" s="117" t="n">
        <v>14.9491</v>
      </c>
      <c r="J50" s="116" t="s">
        <v>34</v>
      </c>
    </row>
    <row r="51" customFormat="false" ht="14.25" hidden="true" customHeight="false" outlineLevel="0" collapsed="false">
      <c r="A51" s="116" t="s">
        <v>175</v>
      </c>
      <c r="B51" s="116" t="n">
        <v>3</v>
      </c>
      <c r="C51" s="117" t="s">
        <v>623</v>
      </c>
      <c r="D51" s="117" t="s">
        <v>35</v>
      </c>
      <c r="E51" s="117" t="s">
        <v>622</v>
      </c>
      <c r="F51" s="117" t="s">
        <v>825</v>
      </c>
      <c r="G51" s="118" t="n">
        <v>21.6</v>
      </c>
      <c r="H51" s="117" t="n">
        <v>7.260273</v>
      </c>
      <c r="I51" s="117" t="n">
        <v>14.245276</v>
      </c>
      <c r="J51" s="116" t="s">
        <v>34</v>
      </c>
    </row>
    <row r="52" customFormat="false" ht="14.25" hidden="true" customHeight="false" outlineLevel="0" collapsed="false">
      <c r="A52" s="116" t="s">
        <v>175</v>
      </c>
      <c r="B52" s="116" t="n">
        <v>9</v>
      </c>
      <c r="C52" s="117" t="s">
        <v>625</v>
      </c>
      <c r="D52" s="117" t="s">
        <v>35</v>
      </c>
      <c r="E52" s="117" t="s">
        <v>622</v>
      </c>
      <c r="F52" s="117" t="s">
        <v>826</v>
      </c>
      <c r="G52" s="118" t="n">
        <v>54</v>
      </c>
      <c r="H52" s="117" t="n">
        <v>6.973744</v>
      </c>
      <c r="I52" s="117" t="n">
        <v>13.114675</v>
      </c>
      <c r="J52" s="116" t="s">
        <v>34</v>
      </c>
    </row>
    <row r="53" customFormat="false" ht="14.25" hidden="true" customHeight="false" outlineLevel="0" collapsed="false">
      <c r="A53" s="116" t="s">
        <v>177</v>
      </c>
      <c r="B53" s="116" t="n">
        <v>9</v>
      </c>
      <c r="C53" s="117" t="s">
        <v>626</v>
      </c>
      <c r="D53" s="117" t="s">
        <v>35</v>
      </c>
      <c r="E53" s="117" t="s">
        <v>622</v>
      </c>
      <c r="F53" s="117" t="s">
        <v>826</v>
      </c>
      <c r="G53" s="118" t="n">
        <v>80</v>
      </c>
      <c r="H53" s="117" t="n">
        <v>7.285816667</v>
      </c>
      <c r="I53" s="117" t="n">
        <v>13.27858333</v>
      </c>
      <c r="J53" s="116" t="s">
        <v>34</v>
      </c>
    </row>
    <row r="54" customFormat="false" ht="14.25" hidden="true" customHeight="false" outlineLevel="0" collapsed="false">
      <c r="A54" s="116" t="s">
        <v>190</v>
      </c>
      <c r="B54" s="116" t="n">
        <v>6</v>
      </c>
      <c r="C54" s="117" t="s">
        <v>624</v>
      </c>
      <c r="D54" s="117" t="s">
        <v>35</v>
      </c>
      <c r="E54" s="117" t="s">
        <v>622</v>
      </c>
      <c r="F54" s="117" t="s">
        <v>827</v>
      </c>
      <c r="G54" s="118" t="n">
        <v>32.4</v>
      </c>
      <c r="H54" s="117" t="n">
        <v>7.81443</v>
      </c>
      <c r="I54" s="117" t="n">
        <v>13.57662</v>
      </c>
      <c r="J54" s="116" t="s">
        <v>34</v>
      </c>
    </row>
    <row r="55" customFormat="false" ht="14.25" hidden="true" customHeight="false" outlineLevel="0" collapsed="false">
      <c r="A55" s="116" t="s">
        <v>190</v>
      </c>
      <c r="B55" s="116" t="n">
        <v>10</v>
      </c>
      <c r="C55" s="117" t="s">
        <v>627</v>
      </c>
      <c r="D55" s="117" t="s">
        <v>35</v>
      </c>
      <c r="E55" s="117" t="s">
        <v>622</v>
      </c>
      <c r="F55" s="117" t="s">
        <v>827</v>
      </c>
      <c r="G55" s="118" t="n">
        <v>97.2</v>
      </c>
      <c r="H55" s="117" t="n">
        <v>7.69592</v>
      </c>
      <c r="I55" s="117" t="n">
        <v>13.54669</v>
      </c>
      <c r="J55" s="116" t="s">
        <v>34</v>
      </c>
    </row>
    <row r="56" customFormat="false" ht="14.25" hidden="true" customHeight="false" outlineLevel="0" collapsed="false">
      <c r="A56" s="116" t="s">
        <v>177</v>
      </c>
      <c r="B56" s="116" t="n">
        <v>16</v>
      </c>
      <c r="C56" s="117" t="s">
        <v>628</v>
      </c>
      <c r="D56" s="117" t="s">
        <v>35</v>
      </c>
      <c r="E56" s="117" t="s">
        <v>622</v>
      </c>
      <c r="F56" s="117" t="s">
        <v>828</v>
      </c>
      <c r="G56" s="118" t="n">
        <v>80</v>
      </c>
      <c r="H56" s="117" t="n">
        <v>7.50976</v>
      </c>
      <c r="I56" s="117" t="n">
        <v>14.01612</v>
      </c>
      <c r="J56" s="116" t="s">
        <v>34</v>
      </c>
    </row>
    <row r="57" customFormat="false" ht="14.25" hidden="true" customHeight="false" outlineLevel="0" collapsed="false">
      <c r="A57" s="119" t="s">
        <v>190</v>
      </c>
      <c r="B57" s="119" t="n">
        <v>69</v>
      </c>
      <c r="C57" s="120" t="s">
        <v>276</v>
      </c>
      <c r="D57" s="120" t="s">
        <v>269</v>
      </c>
      <c r="E57" s="120" t="s">
        <v>270</v>
      </c>
      <c r="F57" s="120" t="s">
        <v>710</v>
      </c>
      <c r="G57" s="121" t="n">
        <v>81</v>
      </c>
      <c r="H57" s="120" t="n">
        <v>4.20835</v>
      </c>
      <c r="I57" s="120" t="n">
        <v>11.89889</v>
      </c>
      <c r="J57" s="119" t="s">
        <v>38</v>
      </c>
    </row>
    <row r="58" customFormat="false" ht="14.25" hidden="true" customHeight="false" outlineLevel="0" collapsed="false">
      <c r="A58" s="119" t="s">
        <v>177</v>
      </c>
      <c r="B58" s="119" t="n">
        <v>38</v>
      </c>
      <c r="C58" s="120" t="s">
        <v>271</v>
      </c>
      <c r="D58" s="120" t="s">
        <v>269</v>
      </c>
      <c r="E58" s="120" t="s">
        <v>270</v>
      </c>
      <c r="F58" s="120" t="s">
        <v>280</v>
      </c>
      <c r="G58" s="121" t="n">
        <v>30</v>
      </c>
      <c r="H58" s="120" t="n">
        <v>4.23851</v>
      </c>
      <c r="I58" s="120" t="n">
        <v>12.06395</v>
      </c>
      <c r="J58" s="119" t="s">
        <v>38</v>
      </c>
    </row>
    <row r="59" customFormat="false" ht="14.25" hidden="true" customHeight="false" outlineLevel="0" collapsed="false">
      <c r="A59" s="119" t="s">
        <v>175</v>
      </c>
      <c r="B59" s="119" t="n">
        <v>14</v>
      </c>
      <c r="C59" s="120" t="s">
        <v>272</v>
      </c>
      <c r="D59" s="120" t="s">
        <v>269</v>
      </c>
      <c r="E59" s="120" t="s">
        <v>270</v>
      </c>
      <c r="F59" s="120" t="s">
        <v>280</v>
      </c>
      <c r="G59" s="121" t="n">
        <v>54</v>
      </c>
      <c r="H59" s="120" t="n">
        <v>4.222556</v>
      </c>
      <c r="I59" s="120" t="n">
        <v>12.094926</v>
      </c>
      <c r="J59" s="119" t="s">
        <v>38</v>
      </c>
    </row>
    <row r="60" customFormat="false" ht="14.25" hidden="true" customHeight="false" outlineLevel="0" collapsed="false">
      <c r="A60" s="119" t="s">
        <v>177</v>
      </c>
      <c r="B60" s="119" t="n">
        <v>48</v>
      </c>
      <c r="C60" s="120" t="s">
        <v>280</v>
      </c>
      <c r="D60" s="120" t="s">
        <v>269</v>
      </c>
      <c r="E60" s="120" t="s">
        <v>270</v>
      </c>
      <c r="F60" s="120" t="s">
        <v>280</v>
      </c>
      <c r="G60" s="121" t="n">
        <v>50</v>
      </c>
      <c r="H60" s="120" t="n">
        <v>4.23898</v>
      </c>
      <c r="I60" s="120" t="n">
        <v>12.28909</v>
      </c>
      <c r="J60" s="119" t="s">
        <v>38</v>
      </c>
    </row>
    <row r="61" customFormat="false" ht="14.25" hidden="true" customHeight="false" outlineLevel="0" collapsed="false">
      <c r="A61" s="119" t="s">
        <v>177</v>
      </c>
      <c r="B61" s="119" t="n">
        <v>33</v>
      </c>
      <c r="C61" s="120" t="s">
        <v>283</v>
      </c>
      <c r="D61" s="120" t="s">
        <v>269</v>
      </c>
      <c r="E61" s="120" t="s">
        <v>270</v>
      </c>
      <c r="F61" s="120" t="s">
        <v>280</v>
      </c>
      <c r="G61" s="121" t="n">
        <v>30</v>
      </c>
      <c r="H61" s="120" t="n">
        <v>4.2614</v>
      </c>
      <c r="I61" s="120" t="n">
        <v>12.22262</v>
      </c>
      <c r="J61" s="119" t="s">
        <v>38</v>
      </c>
    </row>
    <row r="62" customFormat="false" ht="14.25" hidden="true" customHeight="false" outlineLevel="0" collapsed="false">
      <c r="A62" s="119" t="s">
        <v>177</v>
      </c>
      <c r="B62" s="119" t="n">
        <v>34</v>
      </c>
      <c r="C62" s="120" t="s">
        <v>284</v>
      </c>
      <c r="D62" s="120" t="s">
        <v>269</v>
      </c>
      <c r="E62" s="120" t="s">
        <v>270</v>
      </c>
      <c r="F62" s="120" t="s">
        <v>280</v>
      </c>
      <c r="G62" s="121" t="n">
        <v>30</v>
      </c>
      <c r="H62" s="120" t="n">
        <v>4.31127</v>
      </c>
      <c r="I62" s="120" t="n">
        <v>12.25358</v>
      </c>
      <c r="J62" s="119" t="s">
        <v>38</v>
      </c>
    </row>
    <row r="63" customFormat="false" ht="14.25" hidden="true" customHeight="false" outlineLevel="0" collapsed="false">
      <c r="A63" s="119" t="s">
        <v>190</v>
      </c>
      <c r="B63" s="119" t="n">
        <v>70</v>
      </c>
      <c r="C63" s="120" t="s">
        <v>277</v>
      </c>
      <c r="D63" s="120" t="s">
        <v>269</v>
      </c>
      <c r="E63" s="120" t="s">
        <v>270</v>
      </c>
      <c r="F63" s="120" t="s">
        <v>756</v>
      </c>
      <c r="G63" s="121" t="n">
        <v>21.6</v>
      </c>
      <c r="H63" s="120" t="n">
        <v>4.2425</v>
      </c>
      <c r="I63" s="120" t="n">
        <v>12.14401</v>
      </c>
      <c r="J63" s="119" t="s">
        <v>38</v>
      </c>
    </row>
    <row r="64" customFormat="false" ht="14.25" hidden="true" customHeight="false" outlineLevel="0" collapsed="false">
      <c r="A64" s="119" t="s">
        <v>190</v>
      </c>
      <c r="B64" s="119" t="n">
        <v>94</v>
      </c>
      <c r="C64" s="120" t="s">
        <v>286</v>
      </c>
      <c r="D64" s="120" t="s">
        <v>269</v>
      </c>
      <c r="E64" s="120" t="s">
        <v>270</v>
      </c>
      <c r="F64" s="120" t="s">
        <v>756</v>
      </c>
      <c r="G64" s="121" t="n">
        <v>54</v>
      </c>
      <c r="H64" s="120" t="n">
        <v>4.353768</v>
      </c>
      <c r="I64" s="120" t="n">
        <v>12.121082</v>
      </c>
      <c r="J64" s="119" t="s">
        <v>38</v>
      </c>
    </row>
    <row r="65" customFormat="false" ht="14.25" hidden="true" customHeight="false" outlineLevel="0" collapsed="false">
      <c r="A65" s="119" t="s">
        <v>175</v>
      </c>
      <c r="B65" s="119" t="n">
        <v>15</v>
      </c>
      <c r="C65" s="120" t="s">
        <v>281</v>
      </c>
      <c r="D65" s="120" t="s">
        <v>269</v>
      </c>
      <c r="E65" s="120" t="s">
        <v>270</v>
      </c>
      <c r="F65" s="120" t="s">
        <v>757</v>
      </c>
      <c r="G65" s="121" t="n">
        <v>32.4</v>
      </c>
      <c r="H65" s="120" t="n">
        <v>4.609762</v>
      </c>
      <c r="I65" s="120" t="n">
        <v>12.670693</v>
      </c>
      <c r="J65" s="119" t="s">
        <v>38</v>
      </c>
    </row>
    <row r="66" customFormat="false" ht="14.25" hidden="true" customHeight="false" outlineLevel="0" collapsed="false">
      <c r="A66" s="119" t="s">
        <v>190</v>
      </c>
      <c r="B66" s="119" t="n">
        <v>59</v>
      </c>
      <c r="C66" s="120" t="s">
        <v>273</v>
      </c>
      <c r="D66" s="120" t="s">
        <v>269</v>
      </c>
      <c r="E66" s="120" t="s">
        <v>270</v>
      </c>
      <c r="F66" s="120" t="s">
        <v>758</v>
      </c>
      <c r="G66" s="121" t="n">
        <v>32.4</v>
      </c>
      <c r="H66" s="120" t="n">
        <v>4.45947</v>
      </c>
      <c r="I66" s="120" t="n">
        <v>12.57459</v>
      </c>
      <c r="J66" s="119" t="s">
        <v>38</v>
      </c>
    </row>
    <row r="67" customFormat="false" ht="14.25" hidden="true" customHeight="false" outlineLevel="0" collapsed="false">
      <c r="A67" s="119" t="s">
        <v>175</v>
      </c>
      <c r="B67" s="119" t="n">
        <v>22</v>
      </c>
      <c r="C67" s="120" t="s">
        <v>274</v>
      </c>
      <c r="D67" s="120" t="s">
        <v>269</v>
      </c>
      <c r="E67" s="120" t="s">
        <v>270</v>
      </c>
      <c r="F67" s="120" t="s">
        <v>758</v>
      </c>
      <c r="G67" s="121" t="n">
        <v>32.4</v>
      </c>
      <c r="H67" s="120" t="n">
        <v>4.445009</v>
      </c>
      <c r="I67" s="120" t="n">
        <v>12.612085</v>
      </c>
      <c r="J67" s="119" t="s">
        <v>38</v>
      </c>
    </row>
    <row r="68" customFormat="false" ht="14.25" hidden="true" customHeight="false" outlineLevel="0" collapsed="false">
      <c r="A68" s="119" t="s">
        <v>175</v>
      </c>
      <c r="B68" s="119" t="n">
        <v>30</v>
      </c>
      <c r="C68" s="120" t="s">
        <v>275</v>
      </c>
      <c r="D68" s="120" t="s">
        <v>269</v>
      </c>
      <c r="E68" s="120" t="s">
        <v>270</v>
      </c>
      <c r="F68" s="120" t="s">
        <v>758</v>
      </c>
      <c r="G68" s="121" t="n">
        <v>32.4</v>
      </c>
      <c r="H68" s="120" t="n">
        <v>4.502433</v>
      </c>
      <c r="I68" s="120" t="n">
        <v>12.555758</v>
      </c>
      <c r="J68" s="119" t="s">
        <v>38</v>
      </c>
    </row>
    <row r="69" customFormat="false" ht="14.25" hidden="true" customHeight="false" outlineLevel="0" collapsed="false">
      <c r="A69" s="119" t="s">
        <v>190</v>
      </c>
      <c r="B69" s="119" t="n">
        <v>72</v>
      </c>
      <c r="C69" s="120" t="s">
        <v>278</v>
      </c>
      <c r="D69" s="120" t="s">
        <v>269</v>
      </c>
      <c r="E69" s="120" t="s">
        <v>270</v>
      </c>
      <c r="F69" s="120" t="s">
        <v>759</v>
      </c>
      <c r="G69" s="121" t="n">
        <v>32.4</v>
      </c>
      <c r="H69" s="120" t="n">
        <v>4.55883</v>
      </c>
      <c r="I69" s="120" t="n">
        <v>12.86517</v>
      </c>
      <c r="J69" s="119" t="s">
        <v>38</v>
      </c>
    </row>
    <row r="70" customFormat="false" ht="14.25" hidden="true" customHeight="false" outlineLevel="0" collapsed="false">
      <c r="A70" s="119" t="s">
        <v>190</v>
      </c>
      <c r="B70" s="119" t="n">
        <v>76</v>
      </c>
      <c r="C70" s="120" t="s">
        <v>279</v>
      </c>
      <c r="D70" s="120" t="s">
        <v>269</v>
      </c>
      <c r="E70" s="120" t="s">
        <v>270</v>
      </c>
      <c r="F70" s="120" t="s">
        <v>759</v>
      </c>
      <c r="G70" s="121" t="n">
        <v>32.4</v>
      </c>
      <c r="H70" s="120" t="n">
        <v>4.8242</v>
      </c>
      <c r="I70" s="120" t="n">
        <v>12.27898</v>
      </c>
      <c r="J70" s="119" t="s">
        <v>38</v>
      </c>
    </row>
    <row r="71" customFormat="false" ht="14.25" hidden="true" customHeight="false" outlineLevel="0" collapsed="false">
      <c r="A71" s="119" t="s">
        <v>175</v>
      </c>
      <c r="B71" s="119" t="n">
        <v>17</v>
      </c>
      <c r="C71" s="120" t="s">
        <v>282</v>
      </c>
      <c r="D71" s="120" t="s">
        <v>269</v>
      </c>
      <c r="E71" s="120" t="s">
        <v>270</v>
      </c>
      <c r="F71" s="120" t="s">
        <v>285</v>
      </c>
      <c r="G71" s="121" t="n">
        <v>21.6</v>
      </c>
      <c r="H71" s="120" t="n">
        <v>4.67765</v>
      </c>
      <c r="I71" s="120" t="n">
        <v>12.685945</v>
      </c>
      <c r="J71" s="119" t="s">
        <v>38</v>
      </c>
    </row>
    <row r="72" customFormat="false" ht="14.25" hidden="true" customHeight="false" outlineLevel="0" collapsed="false">
      <c r="A72" s="119" t="s">
        <v>177</v>
      </c>
      <c r="B72" s="119" t="n">
        <v>54</v>
      </c>
      <c r="C72" s="120" t="s">
        <v>285</v>
      </c>
      <c r="D72" s="120" t="s">
        <v>269</v>
      </c>
      <c r="E72" s="120" t="s">
        <v>270</v>
      </c>
      <c r="F72" s="120" t="s">
        <v>285</v>
      </c>
      <c r="G72" s="121" t="n">
        <v>80</v>
      </c>
      <c r="H72" s="120" t="n">
        <v>4.89125</v>
      </c>
      <c r="I72" s="120" t="n">
        <v>12.93427</v>
      </c>
      <c r="J72" s="119" t="s">
        <v>38</v>
      </c>
    </row>
    <row r="73" customFormat="false" ht="14.25" hidden="true" customHeight="false" outlineLevel="0" collapsed="false">
      <c r="A73" s="122" t="s">
        <v>177</v>
      </c>
      <c r="B73" s="122" t="n">
        <v>66</v>
      </c>
      <c r="C73" s="123" t="s">
        <v>666</v>
      </c>
      <c r="D73" s="123" t="s">
        <v>269</v>
      </c>
      <c r="E73" s="123" t="s">
        <v>661</v>
      </c>
      <c r="F73" s="123" t="s">
        <v>775</v>
      </c>
      <c r="G73" s="124" t="n">
        <v>80</v>
      </c>
      <c r="H73" s="123" t="n">
        <v>4.23969</v>
      </c>
      <c r="I73" s="123" t="n">
        <v>11.34393</v>
      </c>
      <c r="J73" s="122" t="s">
        <v>36</v>
      </c>
    </row>
    <row r="74" customFormat="false" ht="14.25" hidden="true" customHeight="false" outlineLevel="0" collapsed="false">
      <c r="A74" s="122" t="s">
        <v>190</v>
      </c>
      <c r="B74" s="122" t="n">
        <v>92</v>
      </c>
      <c r="C74" s="123" t="s">
        <v>668</v>
      </c>
      <c r="D74" s="123" t="s">
        <v>269</v>
      </c>
      <c r="E74" s="123" t="s">
        <v>661</v>
      </c>
      <c r="F74" s="123" t="s">
        <v>775</v>
      </c>
      <c r="G74" s="124" t="n">
        <v>183.6</v>
      </c>
      <c r="H74" s="123" t="n">
        <v>4.224317</v>
      </c>
      <c r="I74" s="123" t="n">
        <v>11.40415</v>
      </c>
      <c r="J74" s="122" t="s">
        <v>36</v>
      </c>
    </row>
    <row r="75" customFormat="false" ht="14.25" hidden="true" customHeight="false" outlineLevel="0" collapsed="false">
      <c r="A75" s="122" t="s">
        <v>190</v>
      </c>
      <c r="B75" s="122" t="n">
        <v>84</v>
      </c>
      <c r="C75" s="123" t="s">
        <v>664</v>
      </c>
      <c r="D75" s="123" t="s">
        <v>269</v>
      </c>
      <c r="E75" s="123" t="s">
        <v>661</v>
      </c>
      <c r="F75" s="123" t="s">
        <v>776</v>
      </c>
      <c r="G75" s="124" t="n">
        <v>81</v>
      </c>
      <c r="H75" s="123" t="n">
        <v>4.19823</v>
      </c>
      <c r="I75" s="123" t="n">
        <v>11.51918</v>
      </c>
      <c r="J75" s="122" t="s">
        <v>36</v>
      </c>
    </row>
    <row r="76" customFormat="false" ht="14.25" hidden="true" customHeight="false" outlineLevel="0" collapsed="false">
      <c r="A76" s="122" t="s">
        <v>190</v>
      </c>
      <c r="B76" s="122" t="n">
        <v>78</v>
      </c>
      <c r="C76" s="123" t="s">
        <v>662</v>
      </c>
      <c r="D76" s="123" t="s">
        <v>269</v>
      </c>
      <c r="E76" s="123" t="s">
        <v>661</v>
      </c>
      <c r="F76" s="123" t="s">
        <v>777</v>
      </c>
      <c r="G76" s="124" t="n">
        <v>140.4</v>
      </c>
      <c r="H76" s="123" t="n">
        <v>4.07972</v>
      </c>
      <c r="I76" s="123" t="n">
        <v>11.34112</v>
      </c>
      <c r="J76" s="122" t="s">
        <v>36</v>
      </c>
    </row>
    <row r="77" customFormat="false" ht="14.25" hidden="true" customHeight="false" outlineLevel="0" collapsed="false">
      <c r="A77" s="122" t="s">
        <v>177</v>
      </c>
      <c r="B77" s="122" t="n">
        <v>62</v>
      </c>
      <c r="C77" s="123" t="s">
        <v>665</v>
      </c>
      <c r="D77" s="123" t="s">
        <v>269</v>
      </c>
      <c r="E77" s="123" t="s">
        <v>661</v>
      </c>
      <c r="F77" s="123" t="s">
        <v>777</v>
      </c>
      <c r="G77" s="124" t="n">
        <v>80</v>
      </c>
      <c r="H77" s="123" t="n">
        <v>4.060467</v>
      </c>
      <c r="I77" s="123" t="n">
        <v>11.328267</v>
      </c>
      <c r="J77" s="122" t="s">
        <v>36</v>
      </c>
    </row>
    <row r="78" customFormat="false" ht="14.25" hidden="true" customHeight="false" outlineLevel="0" collapsed="false">
      <c r="A78" s="122" t="s">
        <v>177</v>
      </c>
      <c r="B78" s="122" t="n">
        <v>28</v>
      </c>
      <c r="C78" s="123" t="s">
        <v>669</v>
      </c>
      <c r="D78" s="123" t="s">
        <v>269</v>
      </c>
      <c r="E78" s="123" t="s">
        <v>661</v>
      </c>
      <c r="F78" s="123" t="s">
        <v>778</v>
      </c>
      <c r="G78" s="124" t="n">
        <v>15</v>
      </c>
      <c r="H78" s="123" t="n">
        <v>4.4472</v>
      </c>
      <c r="I78" s="123" t="n">
        <v>11.41148</v>
      </c>
      <c r="J78" s="122" t="s">
        <v>36</v>
      </c>
    </row>
    <row r="79" customFormat="false" ht="14.25" hidden="true" customHeight="false" outlineLevel="0" collapsed="false">
      <c r="A79" s="122" t="s">
        <v>177</v>
      </c>
      <c r="B79" s="122" t="n">
        <v>29</v>
      </c>
      <c r="C79" s="123" t="s">
        <v>670</v>
      </c>
      <c r="D79" s="123" t="s">
        <v>269</v>
      </c>
      <c r="E79" s="123" t="s">
        <v>661</v>
      </c>
      <c r="F79" s="123" t="s">
        <v>778</v>
      </c>
      <c r="G79" s="124" t="n">
        <v>15</v>
      </c>
      <c r="H79" s="123" t="n">
        <v>4.3538</v>
      </c>
      <c r="I79" s="123" t="n">
        <v>11.48681</v>
      </c>
      <c r="J79" s="122" t="s">
        <v>36</v>
      </c>
    </row>
    <row r="80" customFormat="false" ht="14.25" hidden="true" customHeight="false" outlineLevel="0" collapsed="false">
      <c r="A80" s="122" t="s">
        <v>175</v>
      </c>
      <c r="B80" s="122" t="n">
        <v>29</v>
      </c>
      <c r="C80" s="123" t="s">
        <v>663</v>
      </c>
      <c r="D80" s="123" t="s">
        <v>269</v>
      </c>
      <c r="E80" s="123" t="s">
        <v>661</v>
      </c>
      <c r="F80" s="123" t="s">
        <v>779</v>
      </c>
      <c r="G80" s="124" t="n">
        <v>54</v>
      </c>
      <c r="H80" s="123" t="n">
        <v>4.385851</v>
      </c>
      <c r="I80" s="123" t="n">
        <v>11.487552</v>
      </c>
      <c r="J80" s="122" t="s">
        <v>36</v>
      </c>
    </row>
    <row r="81" customFormat="false" ht="14.25" hidden="true" customHeight="false" outlineLevel="0" collapsed="false">
      <c r="A81" s="122" t="s">
        <v>190</v>
      </c>
      <c r="B81" s="122" t="n">
        <v>62</v>
      </c>
      <c r="C81" s="123" t="s">
        <v>667</v>
      </c>
      <c r="D81" s="123" t="s">
        <v>269</v>
      </c>
      <c r="E81" s="123" t="s">
        <v>661</v>
      </c>
      <c r="F81" s="123" t="s">
        <v>779</v>
      </c>
      <c r="G81" s="124" t="n">
        <v>54</v>
      </c>
      <c r="H81" s="123" t="n">
        <v>4.30598</v>
      </c>
      <c r="I81" s="123" t="n">
        <v>11.53051</v>
      </c>
      <c r="J81" s="122" t="s">
        <v>36</v>
      </c>
    </row>
    <row r="82" customFormat="false" ht="14.25" hidden="true" customHeight="false" outlineLevel="0" collapsed="false">
      <c r="A82" s="122" t="s">
        <v>177</v>
      </c>
      <c r="B82" s="122" t="n">
        <v>27</v>
      </c>
      <c r="C82" s="123" t="s">
        <v>672</v>
      </c>
      <c r="D82" s="123" t="s">
        <v>269</v>
      </c>
      <c r="E82" s="123" t="s">
        <v>671</v>
      </c>
      <c r="F82" s="123" t="s">
        <v>760</v>
      </c>
      <c r="G82" s="124" t="n">
        <v>15</v>
      </c>
      <c r="H82" s="123" t="n">
        <v>4.5575</v>
      </c>
      <c r="I82" s="123" t="n">
        <v>11.16466667</v>
      </c>
      <c r="J82" s="122" t="s">
        <v>36</v>
      </c>
    </row>
    <row r="83" customFormat="false" ht="14.25" hidden="true" customHeight="false" outlineLevel="0" collapsed="false">
      <c r="A83" s="122" t="s">
        <v>175</v>
      </c>
      <c r="B83" s="122" t="n">
        <v>23</v>
      </c>
      <c r="C83" s="123" t="s">
        <v>674</v>
      </c>
      <c r="D83" s="123" t="s">
        <v>269</v>
      </c>
      <c r="E83" s="123" t="s">
        <v>671</v>
      </c>
      <c r="F83" s="123" t="s">
        <v>760</v>
      </c>
      <c r="G83" s="124" t="n">
        <v>32.4</v>
      </c>
      <c r="H83" s="123" t="n">
        <v>4.489308</v>
      </c>
      <c r="I83" s="123" t="n">
        <v>11.219471</v>
      </c>
      <c r="J83" s="122" t="s">
        <v>36</v>
      </c>
    </row>
    <row r="84" customFormat="false" ht="14.25" hidden="true" customHeight="false" outlineLevel="0" collapsed="false">
      <c r="A84" s="122" t="s">
        <v>175</v>
      </c>
      <c r="B84" s="122" t="n">
        <v>28</v>
      </c>
      <c r="C84" s="123" t="s">
        <v>676</v>
      </c>
      <c r="D84" s="123" t="s">
        <v>269</v>
      </c>
      <c r="E84" s="123" t="s">
        <v>671</v>
      </c>
      <c r="F84" s="123" t="s">
        <v>761</v>
      </c>
      <c r="G84" s="124" t="n">
        <v>81</v>
      </c>
      <c r="H84" s="123" t="n">
        <v>4.942902</v>
      </c>
      <c r="I84" s="123" t="n">
        <v>11.265855</v>
      </c>
      <c r="J84" s="122" t="s">
        <v>36</v>
      </c>
    </row>
    <row r="85" customFormat="false" ht="14.25" hidden="true" customHeight="false" outlineLevel="0" collapsed="false">
      <c r="A85" s="122" t="s">
        <v>190</v>
      </c>
      <c r="B85" s="122" t="n">
        <v>83</v>
      </c>
      <c r="C85" s="123" t="s">
        <v>679</v>
      </c>
      <c r="D85" s="123" t="s">
        <v>269</v>
      </c>
      <c r="E85" s="123" t="s">
        <v>671</v>
      </c>
      <c r="F85" s="123" t="s">
        <v>761</v>
      </c>
      <c r="G85" s="124" t="n">
        <v>54</v>
      </c>
      <c r="H85" s="123" t="n">
        <v>4.99564</v>
      </c>
      <c r="I85" s="123" t="n">
        <v>10.98518</v>
      </c>
      <c r="J85" s="122" t="s">
        <v>36</v>
      </c>
    </row>
    <row r="86" customFormat="false" ht="14.25" hidden="true" customHeight="false" outlineLevel="0" collapsed="false">
      <c r="A86" s="122" t="s">
        <v>175</v>
      </c>
      <c r="B86" s="122" t="n">
        <v>19</v>
      </c>
      <c r="C86" s="123" t="s">
        <v>684</v>
      </c>
      <c r="D86" s="123" t="s">
        <v>269</v>
      </c>
      <c r="E86" s="123" t="s">
        <v>671</v>
      </c>
      <c r="F86" s="123" t="s">
        <v>761</v>
      </c>
      <c r="G86" s="124" t="n">
        <v>54</v>
      </c>
      <c r="H86" s="123" t="n">
        <v>4.946442</v>
      </c>
      <c r="I86" s="123" t="n">
        <v>11.043756</v>
      </c>
      <c r="J86" s="122" t="s">
        <v>36</v>
      </c>
    </row>
    <row r="87" customFormat="false" ht="14.25" hidden="true" customHeight="false" outlineLevel="0" collapsed="false">
      <c r="A87" s="122" t="s">
        <v>190</v>
      </c>
      <c r="B87" s="122" t="n">
        <v>85</v>
      </c>
      <c r="C87" s="123" t="s">
        <v>680</v>
      </c>
      <c r="D87" s="123" t="s">
        <v>269</v>
      </c>
      <c r="E87" s="123" t="s">
        <v>671</v>
      </c>
      <c r="F87" s="123" t="s">
        <v>762</v>
      </c>
      <c r="G87" s="124" t="n">
        <v>81</v>
      </c>
      <c r="H87" s="123" t="n">
        <v>4.68198</v>
      </c>
      <c r="I87" s="123" t="n">
        <v>11.18852</v>
      </c>
      <c r="J87" s="122" t="s">
        <v>36</v>
      </c>
    </row>
    <row r="88" customFormat="false" ht="14.25" hidden="true" customHeight="false" outlineLevel="0" collapsed="false">
      <c r="A88" s="122" t="s">
        <v>177</v>
      </c>
      <c r="B88" s="122" t="n">
        <v>55</v>
      </c>
      <c r="C88" s="123" t="s">
        <v>673</v>
      </c>
      <c r="D88" s="123" t="s">
        <v>269</v>
      </c>
      <c r="E88" s="123" t="s">
        <v>671</v>
      </c>
      <c r="F88" s="123" t="s">
        <v>763</v>
      </c>
      <c r="G88" s="124" t="n">
        <v>80</v>
      </c>
      <c r="H88" s="123" t="n">
        <v>4.82812</v>
      </c>
      <c r="I88" s="123" t="n">
        <v>11.14641</v>
      </c>
      <c r="J88" s="122" t="s">
        <v>36</v>
      </c>
    </row>
    <row r="89" customFormat="false" ht="14.25" hidden="true" customHeight="false" outlineLevel="0" collapsed="false">
      <c r="A89" s="122" t="s">
        <v>177</v>
      </c>
      <c r="B89" s="122" t="n">
        <v>56</v>
      </c>
      <c r="C89" s="123" t="s">
        <v>675</v>
      </c>
      <c r="D89" s="123" t="s">
        <v>269</v>
      </c>
      <c r="E89" s="123" t="s">
        <v>671</v>
      </c>
      <c r="F89" s="123" t="s">
        <v>763</v>
      </c>
      <c r="G89" s="124" t="n">
        <v>80</v>
      </c>
      <c r="H89" s="123" t="n">
        <v>4.86346</v>
      </c>
      <c r="I89" s="123" t="n">
        <v>11.10409</v>
      </c>
      <c r="J89" s="122" t="s">
        <v>36</v>
      </c>
    </row>
    <row r="90" customFormat="false" ht="14.25" hidden="true" customHeight="false" outlineLevel="0" collapsed="false">
      <c r="A90" s="122" t="s">
        <v>177</v>
      </c>
      <c r="B90" s="122" t="n">
        <v>59</v>
      </c>
      <c r="C90" s="123" t="s">
        <v>687</v>
      </c>
      <c r="D90" s="123" t="s">
        <v>269</v>
      </c>
      <c r="E90" s="123" t="s">
        <v>671</v>
      </c>
      <c r="F90" s="123" t="s">
        <v>763</v>
      </c>
      <c r="G90" s="124" t="n">
        <v>80</v>
      </c>
      <c r="H90" s="123" t="n">
        <v>4.59766</v>
      </c>
      <c r="I90" s="123" t="n">
        <v>11.0732</v>
      </c>
      <c r="J90" s="122" t="s">
        <v>36</v>
      </c>
    </row>
    <row r="91" customFormat="false" ht="14.25" hidden="true" customHeight="false" outlineLevel="0" collapsed="false">
      <c r="A91" s="122" t="s">
        <v>177</v>
      </c>
      <c r="B91" s="122" t="n">
        <v>39</v>
      </c>
      <c r="C91" s="123" t="s">
        <v>686</v>
      </c>
      <c r="D91" s="123" t="s">
        <v>269</v>
      </c>
      <c r="E91" s="123" t="s">
        <v>671</v>
      </c>
      <c r="F91" s="123" t="s">
        <v>764</v>
      </c>
      <c r="G91" s="124" t="n">
        <v>30</v>
      </c>
      <c r="H91" s="123" t="n">
        <v>4.775</v>
      </c>
      <c r="I91" s="123" t="n">
        <v>10.90761</v>
      </c>
      <c r="J91" s="122" t="s">
        <v>36</v>
      </c>
    </row>
    <row r="92" customFormat="false" ht="14.25" hidden="true" customHeight="false" outlineLevel="0" collapsed="false">
      <c r="A92" s="122" t="s">
        <v>177</v>
      </c>
      <c r="B92" s="122" t="n">
        <v>30</v>
      </c>
      <c r="C92" s="123" t="s">
        <v>685</v>
      </c>
      <c r="D92" s="123" t="s">
        <v>269</v>
      </c>
      <c r="E92" s="123" t="s">
        <v>671</v>
      </c>
      <c r="F92" s="123" t="s">
        <v>765</v>
      </c>
      <c r="G92" s="124" t="n">
        <v>15</v>
      </c>
      <c r="H92" s="123" t="n">
        <v>4.78577</v>
      </c>
      <c r="I92" s="123" t="n">
        <v>10.93115</v>
      </c>
      <c r="J92" s="122" t="s">
        <v>36</v>
      </c>
    </row>
    <row r="93" customFormat="false" ht="14.25" hidden="true" customHeight="false" outlineLevel="0" collapsed="false">
      <c r="A93" s="122" t="s">
        <v>190</v>
      </c>
      <c r="B93" s="122" t="n">
        <v>86</v>
      </c>
      <c r="C93" s="123" t="s">
        <v>682</v>
      </c>
      <c r="D93" s="123" t="s">
        <v>269</v>
      </c>
      <c r="E93" s="123" t="s">
        <v>671</v>
      </c>
      <c r="F93" s="123" t="s">
        <v>766</v>
      </c>
      <c r="G93" s="124" t="n">
        <v>21.6</v>
      </c>
      <c r="H93" s="123" t="n">
        <v>4.67752</v>
      </c>
      <c r="I93" s="123" t="n">
        <v>10.82008</v>
      </c>
      <c r="J93" s="122" t="s">
        <v>36</v>
      </c>
    </row>
    <row r="94" customFormat="false" ht="14.25" hidden="true" customHeight="false" outlineLevel="0" collapsed="false">
      <c r="A94" s="122" t="s">
        <v>190</v>
      </c>
      <c r="B94" s="122" t="n">
        <v>77</v>
      </c>
      <c r="C94" s="123" t="s">
        <v>677</v>
      </c>
      <c r="D94" s="123" t="s">
        <v>269</v>
      </c>
      <c r="E94" s="123" t="s">
        <v>671</v>
      </c>
      <c r="F94" s="123" t="s">
        <v>683</v>
      </c>
      <c r="G94" s="124" t="n">
        <v>32.4</v>
      </c>
      <c r="H94" s="123" t="n">
        <v>4.68619</v>
      </c>
      <c r="I94" s="123" t="n">
        <v>10.90112</v>
      </c>
      <c r="J94" s="122" t="s">
        <v>36</v>
      </c>
    </row>
    <row r="95" customFormat="false" ht="14.25" hidden="true" customHeight="false" outlineLevel="0" collapsed="false">
      <c r="A95" s="122" t="s">
        <v>190</v>
      </c>
      <c r="B95" s="122" t="n">
        <v>82</v>
      </c>
      <c r="C95" s="123" t="s">
        <v>678</v>
      </c>
      <c r="D95" s="123" t="s">
        <v>269</v>
      </c>
      <c r="E95" s="123" t="s">
        <v>671</v>
      </c>
      <c r="F95" s="123" t="s">
        <v>683</v>
      </c>
      <c r="G95" s="124" t="n">
        <v>32.4</v>
      </c>
      <c r="H95" s="123" t="n">
        <v>4.65447</v>
      </c>
      <c r="I95" s="123" t="n">
        <v>10.91996</v>
      </c>
      <c r="J95" s="122" t="s">
        <v>36</v>
      </c>
    </row>
    <row r="96" customFormat="false" ht="14.25" hidden="true" customHeight="false" outlineLevel="0" collapsed="false">
      <c r="A96" s="122" t="s">
        <v>177</v>
      </c>
      <c r="B96" s="122" t="n">
        <v>60</v>
      </c>
      <c r="C96" s="123" t="s">
        <v>681</v>
      </c>
      <c r="D96" s="123" t="s">
        <v>269</v>
      </c>
      <c r="E96" s="123" t="s">
        <v>671</v>
      </c>
      <c r="F96" s="123" t="s">
        <v>683</v>
      </c>
      <c r="G96" s="124" t="n">
        <v>80</v>
      </c>
      <c r="H96" s="123" t="n">
        <v>4.662267</v>
      </c>
      <c r="I96" s="123" t="n">
        <v>10.813617</v>
      </c>
      <c r="J96" s="122" t="s">
        <v>36</v>
      </c>
    </row>
    <row r="97" customFormat="false" ht="14.25" hidden="true" customHeight="false" outlineLevel="0" collapsed="false">
      <c r="A97" s="122" t="s">
        <v>190</v>
      </c>
      <c r="B97" s="122" t="n">
        <v>87</v>
      </c>
      <c r="C97" s="123" t="s">
        <v>683</v>
      </c>
      <c r="D97" s="123" t="s">
        <v>269</v>
      </c>
      <c r="E97" s="123" t="s">
        <v>671</v>
      </c>
      <c r="F97" s="123" t="s">
        <v>683</v>
      </c>
      <c r="G97" s="124" t="n">
        <v>21.6</v>
      </c>
      <c r="H97" s="123" t="n">
        <v>4.63785</v>
      </c>
      <c r="I97" s="123" t="n">
        <v>10.86644</v>
      </c>
      <c r="J97" s="122" t="s">
        <v>36</v>
      </c>
    </row>
    <row r="98" customFormat="false" ht="14.25" hidden="true" customHeight="false" outlineLevel="0" collapsed="false">
      <c r="A98" s="122" t="s">
        <v>177</v>
      </c>
      <c r="B98" s="122" t="n">
        <v>72</v>
      </c>
      <c r="C98" s="123" t="s">
        <v>699</v>
      </c>
      <c r="D98" s="123" t="s">
        <v>269</v>
      </c>
      <c r="E98" s="123" t="s">
        <v>688</v>
      </c>
      <c r="F98" s="123" t="s">
        <v>701</v>
      </c>
      <c r="G98" s="124" t="n">
        <v>100</v>
      </c>
      <c r="H98" s="123" t="n">
        <v>5.366433333</v>
      </c>
      <c r="I98" s="123" t="n">
        <v>11.24283333</v>
      </c>
      <c r="J98" s="122" t="s">
        <v>36</v>
      </c>
    </row>
    <row r="99" customFormat="false" ht="14.25" hidden="true" customHeight="false" outlineLevel="0" collapsed="false">
      <c r="A99" s="122" t="s">
        <v>177</v>
      </c>
      <c r="B99" s="122" t="n">
        <v>67</v>
      </c>
      <c r="C99" s="123" t="s">
        <v>701</v>
      </c>
      <c r="D99" s="123" t="s">
        <v>269</v>
      </c>
      <c r="E99" s="123" t="s">
        <v>688</v>
      </c>
      <c r="F99" s="123" t="s">
        <v>701</v>
      </c>
      <c r="G99" s="124" t="n">
        <v>80</v>
      </c>
      <c r="H99" s="123" t="n">
        <v>5.783916667</v>
      </c>
      <c r="I99" s="123" t="n">
        <v>11.48861667</v>
      </c>
      <c r="J99" s="122" t="s">
        <v>36</v>
      </c>
    </row>
    <row r="100" customFormat="false" ht="14.25" hidden="true" customHeight="false" outlineLevel="0" collapsed="false">
      <c r="A100" s="122" t="s">
        <v>177</v>
      </c>
      <c r="B100" s="122" t="n">
        <v>69</v>
      </c>
      <c r="C100" s="123" t="s">
        <v>702</v>
      </c>
      <c r="D100" s="123" t="s">
        <v>269</v>
      </c>
      <c r="E100" s="123" t="s">
        <v>688</v>
      </c>
      <c r="F100" s="123" t="s">
        <v>701</v>
      </c>
      <c r="G100" s="124" t="n">
        <v>100</v>
      </c>
      <c r="H100" s="123" t="n">
        <v>4.76425</v>
      </c>
      <c r="I100" s="123" t="n">
        <v>11.53578333</v>
      </c>
      <c r="J100" s="122" t="s">
        <v>36</v>
      </c>
    </row>
    <row r="101" customFormat="false" ht="14.25" hidden="true" customHeight="false" outlineLevel="0" collapsed="false">
      <c r="A101" s="122" t="s">
        <v>177</v>
      </c>
      <c r="B101" s="122" t="n">
        <v>53</v>
      </c>
      <c r="C101" s="123" t="s">
        <v>703</v>
      </c>
      <c r="D101" s="123" t="s">
        <v>269</v>
      </c>
      <c r="E101" s="123" t="s">
        <v>688</v>
      </c>
      <c r="F101" s="123" t="s">
        <v>703</v>
      </c>
      <c r="G101" s="124" t="n">
        <v>80</v>
      </c>
      <c r="H101" s="123" t="n">
        <v>4.95267</v>
      </c>
      <c r="I101" s="123" t="n">
        <v>11.3835</v>
      </c>
      <c r="J101" s="122" t="s">
        <v>36</v>
      </c>
    </row>
    <row r="102" customFormat="false" ht="14.25" hidden="true" customHeight="false" outlineLevel="0" collapsed="false">
      <c r="A102" s="122" t="s">
        <v>177</v>
      </c>
      <c r="B102" s="122" t="n">
        <v>68</v>
      </c>
      <c r="C102" s="123" t="s">
        <v>706</v>
      </c>
      <c r="D102" s="123" t="s">
        <v>269</v>
      </c>
      <c r="E102" s="123" t="s">
        <v>688</v>
      </c>
      <c r="F102" s="123" t="s">
        <v>703</v>
      </c>
      <c r="G102" s="124" t="n">
        <v>80</v>
      </c>
      <c r="H102" s="123" t="n">
        <v>4.79318</v>
      </c>
      <c r="I102" s="123" t="n">
        <v>11.30382</v>
      </c>
      <c r="J102" s="122" t="s">
        <v>36</v>
      </c>
    </row>
    <row r="103" customFormat="false" ht="14.25" hidden="true" customHeight="false" outlineLevel="0" collapsed="false">
      <c r="A103" s="122" t="s">
        <v>175</v>
      </c>
      <c r="B103" s="122" t="n">
        <v>20</v>
      </c>
      <c r="C103" s="123" t="s">
        <v>708</v>
      </c>
      <c r="D103" s="123" t="s">
        <v>269</v>
      </c>
      <c r="E103" s="123" t="s">
        <v>688</v>
      </c>
      <c r="F103" s="123" t="s">
        <v>703</v>
      </c>
      <c r="G103" s="124" t="n">
        <v>54</v>
      </c>
      <c r="H103" s="123" t="n">
        <v>5.326028</v>
      </c>
      <c r="I103" s="123" t="n">
        <v>11.327221</v>
      </c>
      <c r="J103" s="122" t="s">
        <v>36</v>
      </c>
    </row>
    <row r="104" customFormat="false" ht="14.25" hidden="true" customHeight="false" outlineLevel="0" collapsed="false">
      <c r="A104" s="122" t="s">
        <v>177</v>
      </c>
      <c r="B104" s="122" t="n">
        <v>70</v>
      </c>
      <c r="C104" s="123" t="s">
        <v>693</v>
      </c>
      <c r="D104" s="123" t="s">
        <v>269</v>
      </c>
      <c r="E104" s="123" t="s">
        <v>688</v>
      </c>
      <c r="F104" s="123" t="s">
        <v>746</v>
      </c>
      <c r="G104" s="124" t="n">
        <v>100</v>
      </c>
      <c r="H104" s="123" t="n">
        <v>4.46107</v>
      </c>
      <c r="I104" s="123" t="n">
        <v>11.53246</v>
      </c>
      <c r="J104" s="122" t="s">
        <v>36</v>
      </c>
    </row>
    <row r="105" customFormat="false" ht="14.25" hidden="true" customHeight="false" outlineLevel="0" collapsed="false">
      <c r="A105" s="122" t="s">
        <v>177</v>
      </c>
      <c r="B105" s="122" t="n">
        <v>50</v>
      </c>
      <c r="C105" s="123" t="s">
        <v>694</v>
      </c>
      <c r="D105" s="123" t="s">
        <v>269</v>
      </c>
      <c r="E105" s="123" t="s">
        <v>688</v>
      </c>
      <c r="F105" s="123" t="s">
        <v>746</v>
      </c>
      <c r="G105" s="124" t="n">
        <v>50</v>
      </c>
      <c r="H105" s="123" t="n">
        <v>4.67848</v>
      </c>
      <c r="I105" s="123" t="n">
        <v>11.67334</v>
      </c>
      <c r="J105" s="122" t="s">
        <v>36</v>
      </c>
    </row>
    <row r="106" customFormat="false" ht="14.25" hidden="true" customHeight="false" outlineLevel="0" collapsed="false">
      <c r="A106" s="122" t="s">
        <v>177</v>
      </c>
      <c r="B106" s="122" t="n">
        <v>71</v>
      </c>
      <c r="C106" s="123" t="s">
        <v>705</v>
      </c>
      <c r="D106" s="123" t="s">
        <v>269</v>
      </c>
      <c r="E106" s="123" t="s">
        <v>688</v>
      </c>
      <c r="F106" s="123" t="s">
        <v>746</v>
      </c>
      <c r="G106" s="124" t="n">
        <v>100</v>
      </c>
      <c r="H106" s="123" t="n">
        <v>4.7239</v>
      </c>
      <c r="I106" s="123" t="n">
        <v>11.68225</v>
      </c>
      <c r="J106" s="122" t="s">
        <v>36</v>
      </c>
    </row>
    <row r="107" customFormat="false" ht="14.25" hidden="true" customHeight="false" outlineLevel="0" collapsed="false">
      <c r="A107" s="122" t="s">
        <v>177</v>
      </c>
      <c r="B107" s="122" t="n">
        <v>58</v>
      </c>
      <c r="C107" s="123" t="s">
        <v>707</v>
      </c>
      <c r="D107" s="123" t="s">
        <v>269</v>
      </c>
      <c r="E107" s="123" t="s">
        <v>688</v>
      </c>
      <c r="F107" s="123" t="s">
        <v>746</v>
      </c>
      <c r="G107" s="124" t="n">
        <v>80</v>
      </c>
      <c r="H107" s="123" t="n">
        <v>4.56406</v>
      </c>
      <c r="I107" s="123" t="n">
        <v>11.63215</v>
      </c>
      <c r="J107" s="122" t="s">
        <v>36</v>
      </c>
    </row>
    <row r="108" customFormat="false" ht="14.25" hidden="true" customHeight="false" outlineLevel="0" collapsed="false">
      <c r="A108" s="122" t="s">
        <v>177</v>
      </c>
      <c r="B108" s="122" t="n">
        <v>49</v>
      </c>
      <c r="C108" s="123" t="s">
        <v>689</v>
      </c>
      <c r="D108" s="123" t="s">
        <v>269</v>
      </c>
      <c r="E108" s="123" t="s">
        <v>688</v>
      </c>
      <c r="F108" s="123" t="s">
        <v>748</v>
      </c>
      <c r="G108" s="124" t="n">
        <v>50</v>
      </c>
      <c r="H108" s="123" t="n">
        <v>4.7675</v>
      </c>
      <c r="I108" s="123" t="n">
        <v>11.81019</v>
      </c>
      <c r="J108" s="122" t="s">
        <v>36</v>
      </c>
    </row>
    <row r="109" customFormat="false" ht="14.25" hidden="true" customHeight="false" outlineLevel="0" collapsed="false">
      <c r="A109" s="122" t="s">
        <v>177</v>
      </c>
      <c r="B109" s="122" t="n">
        <v>61</v>
      </c>
      <c r="C109" s="123" t="s">
        <v>690</v>
      </c>
      <c r="D109" s="123" t="s">
        <v>269</v>
      </c>
      <c r="E109" s="123" t="s">
        <v>688</v>
      </c>
      <c r="F109" s="123" t="s">
        <v>748</v>
      </c>
      <c r="G109" s="124" t="n">
        <v>80</v>
      </c>
      <c r="H109" s="123" t="n">
        <v>5.89409</v>
      </c>
      <c r="I109" s="123" t="n">
        <v>12.28151</v>
      </c>
      <c r="J109" s="122" t="s">
        <v>36</v>
      </c>
    </row>
    <row r="110" customFormat="false" ht="14.25" hidden="true" customHeight="false" outlineLevel="0" collapsed="false">
      <c r="A110" s="122" t="s">
        <v>177</v>
      </c>
      <c r="B110" s="122" t="n">
        <v>31</v>
      </c>
      <c r="C110" s="123" t="s">
        <v>691</v>
      </c>
      <c r="D110" s="123" t="s">
        <v>269</v>
      </c>
      <c r="E110" s="123" t="s">
        <v>688</v>
      </c>
      <c r="F110" s="123" t="s">
        <v>748</v>
      </c>
      <c r="G110" s="124" t="n">
        <v>30</v>
      </c>
      <c r="H110" s="123" t="n">
        <v>5.26095</v>
      </c>
      <c r="I110" s="123" t="n">
        <v>12.2069</v>
      </c>
      <c r="J110" s="122" t="s">
        <v>36</v>
      </c>
    </row>
    <row r="111" customFormat="false" ht="14.25" hidden="true" customHeight="false" outlineLevel="0" collapsed="false">
      <c r="A111" s="122" t="s">
        <v>177</v>
      </c>
      <c r="B111" s="122" t="n">
        <v>32</v>
      </c>
      <c r="C111" s="123" t="s">
        <v>692</v>
      </c>
      <c r="D111" s="123" t="s">
        <v>269</v>
      </c>
      <c r="E111" s="123" t="s">
        <v>688</v>
      </c>
      <c r="F111" s="123" t="s">
        <v>748</v>
      </c>
      <c r="G111" s="124" t="n">
        <v>30</v>
      </c>
      <c r="H111" s="123" t="n">
        <v>4.87914</v>
      </c>
      <c r="I111" s="123" t="n">
        <v>11.99922</v>
      </c>
      <c r="J111" s="122" t="s">
        <v>36</v>
      </c>
    </row>
    <row r="112" customFormat="false" ht="14.25" hidden="true" customHeight="false" outlineLevel="0" collapsed="false">
      <c r="A112" s="122" t="s">
        <v>177</v>
      </c>
      <c r="B112" s="122" t="n">
        <v>41</v>
      </c>
      <c r="C112" s="123" t="s">
        <v>695</v>
      </c>
      <c r="D112" s="123" t="s">
        <v>269</v>
      </c>
      <c r="E112" s="123" t="s">
        <v>688</v>
      </c>
      <c r="F112" s="123" t="s">
        <v>748</v>
      </c>
      <c r="G112" s="124" t="n">
        <v>50</v>
      </c>
      <c r="H112" s="123" t="n">
        <v>5.80275</v>
      </c>
      <c r="I112" s="123" t="n">
        <v>12.36475</v>
      </c>
      <c r="J112" s="122" t="s">
        <v>36</v>
      </c>
    </row>
    <row r="113" customFormat="false" ht="14.25" hidden="true" customHeight="false" outlineLevel="0" collapsed="false">
      <c r="A113" s="122" t="s">
        <v>177</v>
      </c>
      <c r="B113" s="122" t="n">
        <v>42</v>
      </c>
      <c r="C113" s="123" t="s">
        <v>696</v>
      </c>
      <c r="D113" s="123" t="s">
        <v>269</v>
      </c>
      <c r="E113" s="123" t="s">
        <v>688</v>
      </c>
      <c r="F113" s="123" t="s">
        <v>748</v>
      </c>
      <c r="G113" s="124" t="n">
        <v>50</v>
      </c>
      <c r="H113" s="123" t="n">
        <v>5.02285</v>
      </c>
      <c r="I113" s="123" t="n">
        <v>12.00269</v>
      </c>
      <c r="J113" s="122" t="s">
        <v>36</v>
      </c>
    </row>
    <row r="114" customFormat="false" ht="14.25" hidden="true" customHeight="false" outlineLevel="0" collapsed="false">
      <c r="A114" s="122" t="s">
        <v>177</v>
      </c>
      <c r="B114" s="122" t="n">
        <v>43</v>
      </c>
      <c r="C114" s="123" t="s">
        <v>697</v>
      </c>
      <c r="D114" s="123" t="s">
        <v>269</v>
      </c>
      <c r="E114" s="123" t="s">
        <v>688</v>
      </c>
      <c r="F114" s="123" t="s">
        <v>748</v>
      </c>
      <c r="G114" s="124" t="n">
        <v>50</v>
      </c>
      <c r="H114" s="123" t="n">
        <v>5.36139</v>
      </c>
      <c r="I114" s="123" t="n">
        <v>12.23496</v>
      </c>
      <c r="J114" s="122" t="s">
        <v>36</v>
      </c>
    </row>
    <row r="115" customFormat="false" ht="14.25" hidden="true" customHeight="false" outlineLevel="0" collapsed="false">
      <c r="A115" s="122" t="s">
        <v>177</v>
      </c>
      <c r="B115" s="122" t="n">
        <v>40</v>
      </c>
      <c r="C115" s="123" t="s">
        <v>698</v>
      </c>
      <c r="D115" s="123" t="s">
        <v>269</v>
      </c>
      <c r="E115" s="123" t="s">
        <v>688</v>
      </c>
      <c r="F115" s="123" t="s">
        <v>748</v>
      </c>
      <c r="G115" s="124" t="n">
        <v>30</v>
      </c>
      <c r="H115" s="123" t="n">
        <v>5.98371</v>
      </c>
      <c r="I115" s="123" t="n">
        <v>12.42045</v>
      </c>
      <c r="J115" s="122" t="s">
        <v>36</v>
      </c>
    </row>
    <row r="116" customFormat="false" ht="14.25" hidden="true" customHeight="false" outlineLevel="0" collapsed="false">
      <c r="A116" s="122" t="s">
        <v>177</v>
      </c>
      <c r="B116" s="122" t="n">
        <v>57</v>
      </c>
      <c r="C116" s="123" t="s">
        <v>700</v>
      </c>
      <c r="D116" s="123" t="s">
        <v>269</v>
      </c>
      <c r="E116" s="123" t="s">
        <v>688</v>
      </c>
      <c r="F116" s="123" t="s">
        <v>748</v>
      </c>
      <c r="G116" s="124" t="n">
        <v>80</v>
      </c>
      <c r="H116" s="123" t="n">
        <v>4.81121</v>
      </c>
      <c r="I116" s="123" t="n">
        <v>11.94056</v>
      </c>
      <c r="J116" s="122" t="s">
        <v>36</v>
      </c>
    </row>
    <row r="117" customFormat="false" ht="14.25" hidden="true" customHeight="false" outlineLevel="0" collapsed="false">
      <c r="A117" s="122" t="s">
        <v>177</v>
      </c>
      <c r="B117" s="122" t="n">
        <v>26</v>
      </c>
      <c r="C117" s="123" t="s">
        <v>704</v>
      </c>
      <c r="D117" s="123" t="s">
        <v>269</v>
      </c>
      <c r="E117" s="123" t="s">
        <v>688</v>
      </c>
      <c r="F117" s="123" t="s">
        <v>748</v>
      </c>
      <c r="G117" s="124" t="n">
        <v>15</v>
      </c>
      <c r="H117" s="123" t="n">
        <v>5.12216</v>
      </c>
      <c r="I117" s="123" t="n">
        <v>12.1039</v>
      </c>
      <c r="J117" s="122" t="s">
        <v>36</v>
      </c>
    </row>
    <row r="118" customFormat="false" ht="14.25" hidden="true" customHeight="false" outlineLevel="0" collapsed="false">
      <c r="A118" s="122" t="s">
        <v>177</v>
      </c>
      <c r="B118" s="122" t="n">
        <v>64</v>
      </c>
      <c r="C118" s="123" t="s">
        <v>710</v>
      </c>
      <c r="D118" s="123" t="s">
        <v>269</v>
      </c>
      <c r="E118" s="123" t="s">
        <v>709</v>
      </c>
      <c r="F118" s="123" t="s">
        <v>710</v>
      </c>
      <c r="G118" s="124" t="n">
        <v>80</v>
      </c>
      <c r="H118" s="123" t="n">
        <v>4.21025</v>
      </c>
      <c r="I118" s="123" t="n">
        <v>12.00441</v>
      </c>
      <c r="J118" s="122" t="s">
        <v>36</v>
      </c>
    </row>
    <row r="119" customFormat="false" ht="14.25" hidden="true" customHeight="false" outlineLevel="0" collapsed="false">
      <c r="A119" s="122" t="s">
        <v>190</v>
      </c>
      <c r="B119" s="122" t="n">
        <v>71</v>
      </c>
      <c r="C119" s="123" t="s">
        <v>712</v>
      </c>
      <c r="D119" s="123" t="s">
        <v>269</v>
      </c>
      <c r="E119" s="123" t="s">
        <v>709</v>
      </c>
      <c r="F119" s="123" t="s">
        <v>712</v>
      </c>
      <c r="G119" s="124" t="n">
        <v>140.4</v>
      </c>
      <c r="H119" s="123" t="n">
        <v>4.19561</v>
      </c>
      <c r="I119" s="123" t="n">
        <v>11.74527</v>
      </c>
      <c r="J119" s="122" t="s">
        <v>36</v>
      </c>
    </row>
    <row r="120" customFormat="false" ht="14.25" hidden="true" customHeight="false" outlineLevel="0" collapsed="false">
      <c r="A120" s="122" t="s">
        <v>177</v>
      </c>
      <c r="B120" s="122" t="n">
        <v>51</v>
      </c>
      <c r="C120" s="123" t="s">
        <v>716</v>
      </c>
      <c r="D120" s="123" t="s">
        <v>269</v>
      </c>
      <c r="E120" s="123" t="s">
        <v>709</v>
      </c>
      <c r="F120" s="123" t="s">
        <v>712</v>
      </c>
      <c r="G120" s="124" t="n">
        <v>50</v>
      </c>
      <c r="H120" s="123" t="n">
        <v>4.23017</v>
      </c>
      <c r="I120" s="123" t="n">
        <v>11.6865</v>
      </c>
      <c r="J120" s="122" t="s">
        <v>36</v>
      </c>
    </row>
    <row r="121" customFormat="false" ht="14.25" hidden="true" customHeight="false" outlineLevel="0" collapsed="false">
      <c r="A121" s="122" t="s">
        <v>177</v>
      </c>
      <c r="B121" s="122" t="n">
        <v>52</v>
      </c>
      <c r="C121" s="123" t="s">
        <v>713</v>
      </c>
      <c r="D121" s="123" t="s">
        <v>269</v>
      </c>
      <c r="E121" s="123" t="s">
        <v>709</v>
      </c>
      <c r="F121" s="123" t="s">
        <v>713</v>
      </c>
      <c r="G121" s="124" t="n">
        <v>80</v>
      </c>
      <c r="H121" s="123" t="n">
        <v>4.094366667</v>
      </c>
      <c r="I121" s="123" t="n">
        <v>11.88486667</v>
      </c>
      <c r="J121" s="122" t="s">
        <v>36</v>
      </c>
    </row>
    <row r="122" customFormat="false" ht="14.25" hidden="true" customHeight="false" outlineLevel="0" collapsed="false">
      <c r="A122" s="122" t="s">
        <v>175</v>
      </c>
      <c r="B122" s="122" t="n">
        <v>16</v>
      </c>
      <c r="C122" s="123" t="s">
        <v>715</v>
      </c>
      <c r="D122" s="123" t="s">
        <v>269</v>
      </c>
      <c r="E122" s="123" t="s">
        <v>709</v>
      </c>
      <c r="F122" s="123" t="s">
        <v>713</v>
      </c>
      <c r="G122" s="124" t="n">
        <v>32.4</v>
      </c>
      <c r="H122" s="123" t="n">
        <v>4.02287948</v>
      </c>
      <c r="I122" s="123" t="n">
        <v>11.98117694</v>
      </c>
      <c r="J122" s="122" t="s">
        <v>36</v>
      </c>
    </row>
    <row r="123" customFormat="false" ht="14.25" hidden="true" customHeight="false" outlineLevel="0" collapsed="false">
      <c r="A123" s="122" t="s">
        <v>177</v>
      </c>
      <c r="B123" s="122" t="n">
        <v>46</v>
      </c>
      <c r="C123" s="123" t="s">
        <v>717</v>
      </c>
      <c r="D123" s="123" t="s">
        <v>269</v>
      </c>
      <c r="E123" s="123" t="s">
        <v>709</v>
      </c>
      <c r="F123" s="123" t="s">
        <v>772</v>
      </c>
      <c r="G123" s="124" t="n">
        <v>50</v>
      </c>
      <c r="H123" s="123" t="n">
        <v>3.75965</v>
      </c>
      <c r="I123" s="123" t="n">
        <v>11.68721</v>
      </c>
      <c r="J123" s="122" t="s">
        <v>36</v>
      </c>
    </row>
    <row r="124" customFormat="false" ht="14.25" hidden="true" customHeight="false" outlineLevel="0" collapsed="false">
      <c r="A124" s="122" t="s">
        <v>177</v>
      </c>
      <c r="B124" s="122" t="n">
        <v>63</v>
      </c>
      <c r="C124" s="123" t="s">
        <v>711</v>
      </c>
      <c r="D124" s="123" t="s">
        <v>269</v>
      </c>
      <c r="E124" s="123" t="s">
        <v>709</v>
      </c>
      <c r="F124" s="123" t="s">
        <v>773</v>
      </c>
      <c r="G124" s="124" t="n">
        <v>80</v>
      </c>
      <c r="H124" s="123" t="n">
        <v>4.00271</v>
      </c>
      <c r="I124" s="123" t="n">
        <v>11.5516</v>
      </c>
      <c r="J124" s="122" t="s">
        <v>36</v>
      </c>
    </row>
    <row r="125" customFormat="false" ht="14.25" hidden="true" customHeight="false" outlineLevel="0" collapsed="false">
      <c r="A125" s="122" t="s">
        <v>190</v>
      </c>
      <c r="B125" s="122" t="n">
        <v>79</v>
      </c>
      <c r="C125" s="123" t="s">
        <v>714</v>
      </c>
      <c r="D125" s="123" t="s">
        <v>269</v>
      </c>
      <c r="E125" s="123" t="s">
        <v>709</v>
      </c>
      <c r="F125" s="123" t="s">
        <v>773</v>
      </c>
      <c r="G125" s="124" t="n">
        <v>32.4</v>
      </c>
      <c r="H125" s="123" t="n">
        <v>4.08738</v>
      </c>
      <c r="I125" s="123" t="n">
        <v>11.62956</v>
      </c>
      <c r="J125" s="122" t="s">
        <v>36</v>
      </c>
    </row>
    <row r="126" customFormat="false" ht="14.25" hidden="true" customHeight="false" outlineLevel="0" collapsed="false">
      <c r="A126" s="122" t="s">
        <v>177</v>
      </c>
      <c r="B126" s="122" t="n">
        <v>47</v>
      </c>
      <c r="C126" s="123" t="s">
        <v>718</v>
      </c>
      <c r="D126" s="123" t="s">
        <v>269</v>
      </c>
      <c r="E126" s="123" t="s">
        <v>709</v>
      </c>
      <c r="F126" s="123" t="s">
        <v>774</v>
      </c>
      <c r="G126" s="124" t="n">
        <v>50</v>
      </c>
      <c r="H126" s="123" t="n">
        <v>4.123483333</v>
      </c>
      <c r="I126" s="123" t="n">
        <v>11.62863333</v>
      </c>
      <c r="J126" s="122" t="s">
        <v>36</v>
      </c>
    </row>
    <row r="127" customFormat="false" ht="14.25" hidden="true" customHeight="false" outlineLevel="0" collapsed="false">
      <c r="A127" s="122" t="s">
        <v>175</v>
      </c>
      <c r="B127" s="122" t="n">
        <v>26</v>
      </c>
      <c r="C127" s="123" t="s">
        <v>720</v>
      </c>
      <c r="D127" s="123" t="s">
        <v>269</v>
      </c>
      <c r="E127" s="123" t="s">
        <v>719</v>
      </c>
      <c r="F127" s="123" t="s">
        <v>750</v>
      </c>
      <c r="G127" s="124" t="n">
        <v>21.6</v>
      </c>
      <c r="H127" s="123" t="n">
        <v>3.474345</v>
      </c>
      <c r="I127" s="123" t="n">
        <v>11.266941</v>
      </c>
      <c r="J127" s="122" t="s">
        <v>36</v>
      </c>
    </row>
    <row r="128" customFormat="false" ht="14.25" hidden="true" customHeight="false" outlineLevel="0" collapsed="false">
      <c r="A128" s="122" t="s">
        <v>175</v>
      </c>
      <c r="B128" s="122" t="n">
        <v>31</v>
      </c>
      <c r="C128" s="123" t="s">
        <v>730</v>
      </c>
      <c r="D128" s="123" t="s">
        <v>269</v>
      </c>
      <c r="E128" s="123" t="s">
        <v>719</v>
      </c>
      <c r="F128" s="123" t="s">
        <v>750</v>
      </c>
      <c r="G128" s="124" t="n">
        <v>21.6</v>
      </c>
      <c r="H128" s="123" t="n">
        <v>3.454105</v>
      </c>
      <c r="I128" s="123" t="n">
        <v>11.251124</v>
      </c>
      <c r="J128" s="122" t="s">
        <v>36</v>
      </c>
    </row>
    <row r="129" customFormat="false" ht="14.25" hidden="true" customHeight="false" outlineLevel="0" collapsed="false">
      <c r="A129" s="122" t="s">
        <v>190</v>
      </c>
      <c r="B129" s="122" t="n">
        <v>91</v>
      </c>
      <c r="C129" s="123" t="s">
        <v>731</v>
      </c>
      <c r="D129" s="123" t="s">
        <v>269</v>
      </c>
      <c r="E129" s="123" t="s">
        <v>719</v>
      </c>
      <c r="F129" s="123" t="s">
        <v>750</v>
      </c>
      <c r="G129" s="124" t="n">
        <v>32.4</v>
      </c>
      <c r="H129" s="123" t="n">
        <v>3.561183</v>
      </c>
      <c r="I129" s="123" t="n">
        <v>11.3574</v>
      </c>
      <c r="J129" s="122" t="s">
        <v>36</v>
      </c>
    </row>
    <row r="130" customFormat="false" ht="14.25" hidden="true" customHeight="false" outlineLevel="0" collapsed="false">
      <c r="A130" s="122" t="s">
        <v>175</v>
      </c>
      <c r="B130" s="122" t="n">
        <v>18</v>
      </c>
      <c r="C130" s="123" t="s">
        <v>732</v>
      </c>
      <c r="D130" s="123" t="s">
        <v>269</v>
      </c>
      <c r="E130" s="123" t="s">
        <v>719</v>
      </c>
      <c r="F130" s="123" t="s">
        <v>750</v>
      </c>
      <c r="G130" s="124" t="n">
        <v>21.6</v>
      </c>
      <c r="H130" s="123" t="n">
        <v>3.522361</v>
      </c>
      <c r="I130" s="123" t="n">
        <v>11.345589</v>
      </c>
      <c r="J130" s="122" t="s">
        <v>36</v>
      </c>
    </row>
    <row r="131" customFormat="false" ht="14.25" hidden="true" customHeight="false" outlineLevel="0" collapsed="false">
      <c r="A131" s="122" t="s">
        <v>190</v>
      </c>
      <c r="B131" s="122" t="n">
        <v>95</v>
      </c>
      <c r="C131" s="123" t="s">
        <v>734</v>
      </c>
      <c r="D131" s="123" t="s">
        <v>269</v>
      </c>
      <c r="E131" s="123" t="s">
        <v>719</v>
      </c>
      <c r="F131" s="123" t="s">
        <v>750</v>
      </c>
      <c r="G131" s="124" t="n">
        <v>21.6</v>
      </c>
      <c r="H131" s="123" t="n">
        <v>3.41097</v>
      </c>
      <c r="I131" s="123" t="n">
        <v>11.33447</v>
      </c>
      <c r="J131" s="122" t="s">
        <v>36</v>
      </c>
    </row>
    <row r="132" customFormat="false" ht="14.25" hidden="true" customHeight="false" outlineLevel="0" collapsed="false">
      <c r="A132" s="122" t="s">
        <v>190</v>
      </c>
      <c r="B132" s="122" t="n">
        <v>58</v>
      </c>
      <c r="C132" s="123" t="s">
        <v>721</v>
      </c>
      <c r="D132" s="123" t="s">
        <v>269</v>
      </c>
      <c r="E132" s="123" t="s">
        <v>719</v>
      </c>
      <c r="F132" s="123" t="s">
        <v>752</v>
      </c>
      <c r="G132" s="124" t="n">
        <v>32.4</v>
      </c>
      <c r="H132" s="123" t="n">
        <v>3.38256</v>
      </c>
      <c r="I132" s="123" t="n">
        <v>11.37605</v>
      </c>
      <c r="J132" s="122" t="s">
        <v>36</v>
      </c>
    </row>
    <row r="133" customFormat="false" ht="14.25" hidden="true" customHeight="false" outlineLevel="0" collapsed="false">
      <c r="A133" s="122" t="s">
        <v>175</v>
      </c>
      <c r="B133" s="122" t="n">
        <v>21</v>
      </c>
      <c r="C133" s="123" t="s">
        <v>728</v>
      </c>
      <c r="D133" s="123" t="s">
        <v>269</v>
      </c>
      <c r="E133" s="123" t="s">
        <v>719</v>
      </c>
      <c r="F133" s="123" t="s">
        <v>752</v>
      </c>
      <c r="G133" s="124" t="n">
        <v>54</v>
      </c>
      <c r="H133" s="123" t="n">
        <v>3.433604</v>
      </c>
      <c r="I133" s="123" t="n">
        <v>11.366762</v>
      </c>
      <c r="J133" s="122" t="s">
        <v>36</v>
      </c>
    </row>
    <row r="134" customFormat="false" ht="14.25" hidden="true" customHeight="false" outlineLevel="0" collapsed="false">
      <c r="A134" s="122" t="s">
        <v>175</v>
      </c>
      <c r="B134" s="122" t="n">
        <v>24</v>
      </c>
      <c r="C134" s="123" t="s">
        <v>736</v>
      </c>
      <c r="D134" s="123" t="s">
        <v>269</v>
      </c>
      <c r="E134" s="123" t="s">
        <v>719</v>
      </c>
      <c r="F134" s="123" t="s">
        <v>752</v>
      </c>
      <c r="G134" s="124" t="n">
        <v>54</v>
      </c>
      <c r="H134" s="123" t="n">
        <v>3.457036</v>
      </c>
      <c r="I134" s="123" t="n">
        <v>11.424539</v>
      </c>
      <c r="J134" s="122" t="s">
        <v>36</v>
      </c>
    </row>
    <row r="135" customFormat="false" ht="14.25" hidden="true" customHeight="false" outlineLevel="0" collapsed="false">
      <c r="A135" s="122" t="s">
        <v>190</v>
      </c>
      <c r="B135" s="122" t="n">
        <v>66</v>
      </c>
      <c r="C135" s="123" t="s">
        <v>722</v>
      </c>
      <c r="D135" s="123" t="s">
        <v>269</v>
      </c>
      <c r="E135" s="123" t="s">
        <v>719</v>
      </c>
      <c r="F135" s="123" t="s">
        <v>754</v>
      </c>
      <c r="G135" s="124" t="n">
        <v>32.4</v>
      </c>
      <c r="H135" s="123" t="n">
        <v>3.71202</v>
      </c>
      <c r="I135" s="123" t="n">
        <v>11.35895</v>
      </c>
      <c r="J135" s="122" t="s">
        <v>36</v>
      </c>
    </row>
    <row r="136" customFormat="false" ht="14.25" hidden="true" customHeight="false" outlineLevel="0" collapsed="false">
      <c r="A136" s="122" t="s">
        <v>190</v>
      </c>
      <c r="B136" s="122" t="n">
        <v>60</v>
      </c>
      <c r="C136" s="123" t="s">
        <v>723</v>
      </c>
      <c r="D136" s="123" t="s">
        <v>269</v>
      </c>
      <c r="E136" s="123" t="s">
        <v>719</v>
      </c>
      <c r="F136" s="123" t="s">
        <v>754</v>
      </c>
      <c r="G136" s="124" t="n">
        <v>21.6</v>
      </c>
      <c r="H136" s="123" t="n">
        <v>3.62519</v>
      </c>
      <c r="I136" s="123" t="n">
        <v>11.36378</v>
      </c>
      <c r="J136" s="122" t="s">
        <v>36</v>
      </c>
    </row>
    <row r="137" customFormat="false" ht="14.25" hidden="true" customHeight="false" outlineLevel="0" collapsed="false">
      <c r="A137" s="122" t="s">
        <v>190</v>
      </c>
      <c r="B137" s="122" t="n">
        <v>74</v>
      </c>
      <c r="C137" s="123" t="s">
        <v>724</v>
      </c>
      <c r="D137" s="123" t="s">
        <v>269</v>
      </c>
      <c r="E137" s="123" t="s">
        <v>719</v>
      </c>
      <c r="F137" s="123" t="s">
        <v>754</v>
      </c>
      <c r="G137" s="124" t="n">
        <v>21.6</v>
      </c>
      <c r="H137" s="123" t="n">
        <v>3.75348</v>
      </c>
      <c r="I137" s="123" t="n">
        <v>11.38456</v>
      </c>
      <c r="J137" s="122" t="s">
        <v>36</v>
      </c>
    </row>
    <row r="138" customFormat="false" ht="14.25" hidden="true" customHeight="false" outlineLevel="0" collapsed="false">
      <c r="A138" s="122" t="s">
        <v>190</v>
      </c>
      <c r="B138" s="122" t="n">
        <v>63</v>
      </c>
      <c r="C138" s="123" t="s">
        <v>729</v>
      </c>
      <c r="D138" s="123" t="s">
        <v>269</v>
      </c>
      <c r="E138" s="123" t="s">
        <v>719</v>
      </c>
      <c r="F138" s="123" t="s">
        <v>754</v>
      </c>
      <c r="G138" s="124" t="n">
        <v>21.6</v>
      </c>
      <c r="H138" s="123" t="n">
        <v>3.78021</v>
      </c>
      <c r="I138" s="123" t="n">
        <v>11.25035</v>
      </c>
      <c r="J138" s="122" t="s">
        <v>36</v>
      </c>
    </row>
    <row r="139" customFormat="false" ht="14.25" hidden="true" customHeight="false" outlineLevel="0" collapsed="false">
      <c r="A139" s="122" t="s">
        <v>177</v>
      </c>
      <c r="B139" s="122" t="n">
        <v>44</v>
      </c>
      <c r="C139" s="123" t="s">
        <v>725</v>
      </c>
      <c r="D139" s="123" t="s">
        <v>269</v>
      </c>
      <c r="E139" s="123" t="s">
        <v>719</v>
      </c>
      <c r="F139" s="123" t="s">
        <v>726</v>
      </c>
      <c r="G139" s="124" t="n">
        <v>50</v>
      </c>
      <c r="H139" s="123" t="n">
        <v>3.56047</v>
      </c>
      <c r="I139" s="123" t="n">
        <v>11.39677</v>
      </c>
      <c r="J139" s="122" t="s">
        <v>36</v>
      </c>
    </row>
    <row r="140" customFormat="false" ht="14.25" hidden="true" customHeight="false" outlineLevel="0" collapsed="false">
      <c r="A140" s="122" t="s">
        <v>177</v>
      </c>
      <c r="B140" s="122" t="n">
        <v>65</v>
      </c>
      <c r="C140" s="123" t="s">
        <v>726</v>
      </c>
      <c r="D140" s="123" t="s">
        <v>269</v>
      </c>
      <c r="E140" s="123" t="s">
        <v>719</v>
      </c>
      <c r="F140" s="123" t="s">
        <v>726</v>
      </c>
      <c r="G140" s="124" t="n">
        <v>80</v>
      </c>
      <c r="H140" s="123" t="n">
        <v>3.5979</v>
      </c>
      <c r="I140" s="123" t="n">
        <v>11.3092</v>
      </c>
      <c r="J140" s="122" t="s">
        <v>36</v>
      </c>
    </row>
    <row r="141" customFormat="false" ht="14.25" hidden="true" customHeight="false" outlineLevel="0" collapsed="false">
      <c r="A141" s="122" t="s">
        <v>190</v>
      </c>
      <c r="B141" s="122" t="n">
        <v>88</v>
      </c>
      <c r="C141" s="123" t="s">
        <v>727</v>
      </c>
      <c r="D141" s="123" t="s">
        <v>269</v>
      </c>
      <c r="E141" s="123" t="s">
        <v>719</v>
      </c>
      <c r="F141" s="123" t="s">
        <v>726</v>
      </c>
      <c r="G141" s="124" t="n">
        <v>32.4</v>
      </c>
      <c r="H141" s="123" t="n">
        <v>3.5973</v>
      </c>
      <c r="I141" s="123" t="n">
        <v>11.25515</v>
      </c>
      <c r="J141" s="122" t="s">
        <v>36</v>
      </c>
    </row>
    <row r="142" customFormat="false" ht="14.25" hidden="true" customHeight="false" outlineLevel="0" collapsed="false">
      <c r="A142" s="122" t="s">
        <v>190</v>
      </c>
      <c r="B142" s="122" t="n">
        <v>93</v>
      </c>
      <c r="C142" s="123" t="s">
        <v>733</v>
      </c>
      <c r="D142" s="123" t="s">
        <v>269</v>
      </c>
      <c r="E142" s="123" t="s">
        <v>719</v>
      </c>
      <c r="F142" s="123" t="s">
        <v>726</v>
      </c>
      <c r="G142" s="124" t="n">
        <v>21.6</v>
      </c>
      <c r="H142" s="123" t="n">
        <v>3.566147</v>
      </c>
      <c r="I142" s="123" t="n">
        <v>11.30304</v>
      </c>
      <c r="J142" s="122" t="s">
        <v>36</v>
      </c>
    </row>
    <row r="143" customFormat="false" ht="14.25" hidden="true" customHeight="false" outlineLevel="0" collapsed="false">
      <c r="A143" s="122" t="s">
        <v>190</v>
      </c>
      <c r="B143" s="122" t="n">
        <v>96</v>
      </c>
      <c r="C143" s="123" t="s">
        <v>735</v>
      </c>
      <c r="D143" s="123" t="s">
        <v>269</v>
      </c>
      <c r="E143" s="123" t="s">
        <v>719</v>
      </c>
      <c r="F143" s="123" t="s">
        <v>726</v>
      </c>
      <c r="G143" s="124" t="n">
        <v>97.2</v>
      </c>
      <c r="H143" s="123" t="n">
        <v>3.50023</v>
      </c>
      <c r="I143" s="123" t="n">
        <v>11.32564</v>
      </c>
      <c r="J143" s="122" t="s">
        <v>36</v>
      </c>
    </row>
    <row r="144" customFormat="false" ht="14.25" hidden="true" customHeight="false" outlineLevel="0" collapsed="false">
      <c r="A144" s="125" t="s">
        <v>190</v>
      </c>
      <c r="B144" s="125" t="n">
        <v>68</v>
      </c>
      <c r="C144" s="126" t="s">
        <v>634</v>
      </c>
      <c r="D144" s="126" t="s">
        <v>269</v>
      </c>
      <c r="E144" s="126" t="s">
        <v>629</v>
      </c>
      <c r="F144" s="126" t="s">
        <v>767</v>
      </c>
      <c r="G144" s="127" t="n">
        <v>54</v>
      </c>
      <c r="H144" s="126" t="n">
        <v>3.968697</v>
      </c>
      <c r="I144" s="126" t="n">
        <v>11.133179</v>
      </c>
      <c r="J144" s="125" t="s">
        <v>27</v>
      </c>
    </row>
    <row r="145" customFormat="false" ht="14.25" hidden="true" customHeight="false" outlineLevel="0" collapsed="false">
      <c r="A145" s="125" t="s">
        <v>190</v>
      </c>
      <c r="B145" s="125" t="n">
        <v>75</v>
      </c>
      <c r="C145" s="126" t="s">
        <v>635</v>
      </c>
      <c r="D145" s="126" t="s">
        <v>269</v>
      </c>
      <c r="E145" s="126" t="s">
        <v>629</v>
      </c>
      <c r="F145" s="126" t="s">
        <v>768</v>
      </c>
      <c r="G145" s="127" t="n">
        <v>21.6</v>
      </c>
      <c r="H145" s="126" t="n">
        <v>3.98515</v>
      </c>
      <c r="I145" s="126" t="n">
        <v>11.17086</v>
      </c>
      <c r="J145" s="125" t="s">
        <v>27</v>
      </c>
    </row>
    <row r="146" customFormat="false" ht="14.25" hidden="true" customHeight="false" outlineLevel="0" collapsed="false">
      <c r="A146" s="125" t="s">
        <v>190</v>
      </c>
      <c r="B146" s="125" t="n">
        <v>81</v>
      </c>
      <c r="C146" s="126" t="s">
        <v>636</v>
      </c>
      <c r="D146" s="126" t="s">
        <v>269</v>
      </c>
      <c r="E146" s="126" t="s">
        <v>629</v>
      </c>
      <c r="F146" s="126" t="s">
        <v>768</v>
      </c>
      <c r="G146" s="127" t="n">
        <v>21.6</v>
      </c>
      <c r="H146" s="126" t="n">
        <v>3.977682</v>
      </c>
      <c r="I146" s="126" t="n">
        <v>11.114798</v>
      </c>
      <c r="J146" s="125" t="s">
        <v>27</v>
      </c>
    </row>
    <row r="147" customFormat="false" ht="14.25" hidden="true" customHeight="false" outlineLevel="0" collapsed="false">
      <c r="A147" s="125" t="s">
        <v>177</v>
      </c>
      <c r="B147" s="125" t="n">
        <v>36</v>
      </c>
      <c r="C147" s="126" t="s">
        <v>632</v>
      </c>
      <c r="D147" s="126" t="s">
        <v>269</v>
      </c>
      <c r="E147" s="126" t="s">
        <v>629</v>
      </c>
      <c r="F147" s="126" t="s">
        <v>769</v>
      </c>
      <c r="G147" s="127" t="n">
        <v>30</v>
      </c>
      <c r="H147" s="126" t="n">
        <v>4.07407</v>
      </c>
      <c r="I147" s="126" t="n">
        <v>10.80237</v>
      </c>
      <c r="J147" s="125" t="s">
        <v>27</v>
      </c>
    </row>
    <row r="148" customFormat="false" ht="14.25" hidden="true" customHeight="false" outlineLevel="0" collapsed="false">
      <c r="A148" s="125" t="s">
        <v>175</v>
      </c>
      <c r="B148" s="125" t="n">
        <v>27</v>
      </c>
      <c r="C148" s="126" t="s">
        <v>631</v>
      </c>
      <c r="D148" s="126" t="s">
        <v>269</v>
      </c>
      <c r="E148" s="126" t="s">
        <v>629</v>
      </c>
      <c r="F148" s="126" t="s">
        <v>770</v>
      </c>
      <c r="G148" s="127" t="n">
        <v>21.6</v>
      </c>
      <c r="H148" s="126" t="n">
        <v>3.730728</v>
      </c>
      <c r="I148" s="126" t="n">
        <v>11.117253</v>
      </c>
      <c r="J148" s="125" t="s">
        <v>27</v>
      </c>
    </row>
    <row r="149" customFormat="false" ht="14.25" hidden="true" customHeight="false" outlineLevel="0" collapsed="false">
      <c r="A149" s="125" t="s">
        <v>190</v>
      </c>
      <c r="B149" s="125" t="n">
        <v>67</v>
      </c>
      <c r="C149" s="126" t="s">
        <v>633</v>
      </c>
      <c r="D149" s="126" t="s">
        <v>269</v>
      </c>
      <c r="E149" s="126" t="s">
        <v>629</v>
      </c>
      <c r="F149" s="126" t="s">
        <v>770</v>
      </c>
      <c r="G149" s="127" t="n">
        <v>21.6</v>
      </c>
      <c r="H149" s="126" t="n">
        <v>3.745833</v>
      </c>
      <c r="I149" s="126" t="n">
        <v>11.12685</v>
      </c>
      <c r="J149" s="125" t="s">
        <v>27</v>
      </c>
    </row>
    <row r="150" customFormat="false" ht="14.25" hidden="true" customHeight="false" outlineLevel="0" collapsed="false">
      <c r="A150" s="125" t="s">
        <v>175</v>
      </c>
      <c r="B150" s="125" t="n">
        <v>25</v>
      </c>
      <c r="C150" s="126" t="s">
        <v>630</v>
      </c>
      <c r="D150" s="126" t="s">
        <v>269</v>
      </c>
      <c r="E150" s="126" t="s">
        <v>629</v>
      </c>
      <c r="F150" s="126" t="s">
        <v>771</v>
      </c>
      <c r="G150" s="127" t="n">
        <v>32.4</v>
      </c>
      <c r="H150" s="126" t="n">
        <v>3.762804</v>
      </c>
      <c r="I150" s="126" t="n">
        <v>10.433954</v>
      </c>
      <c r="J150" s="125" t="s">
        <v>27</v>
      </c>
    </row>
    <row r="151" customFormat="false" ht="14.25" hidden="true" customHeight="false" outlineLevel="0" collapsed="false">
      <c r="A151" s="125" t="s">
        <v>177</v>
      </c>
      <c r="B151" s="125" t="n">
        <v>35</v>
      </c>
      <c r="C151" s="126" t="s">
        <v>637</v>
      </c>
      <c r="D151" s="126" t="s">
        <v>269</v>
      </c>
      <c r="E151" s="126" t="s">
        <v>629</v>
      </c>
      <c r="F151" s="126" t="s">
        <v>771</v>
      </c>
      <c r="G151" s="127" t="n">
        <v>30</v>
      </c>
      <c r="H151" s="126" t="n">
        <v>3.76653</v>
      </c>
      <c r="I151" s="126" t="n">
        <v>10.46842</v>
      </c>
      <c r="J151" s="125" t="s">
        <v>27</v>
      </c>
    </row>
    <row r="152" customFormat="false" ht="14.25" hidden="true" customHeight="false" outlineLevel="0" collapsed="false">
      <c r="A152" s="125" t="s">
        <v>190</v>
      </c>
      <c r="B152" s="125" t="n">
        <v>97</v>
      </c>
      <c r="C152" s="126" t="s">
        <v>638</v>
      </c>
      <c r="D152" s="126" t="s">
        <v>269</v>
      </c>
      <c r="E152" s="126" t="s">
        <v>629</v>
      </c>
      <c r="F152" s="126" t="s">
        <v>771</v>
      </c>
      <c r="G152" s="127" t="n">
        <v>21.6</v>
      </c>
      <c r="H152" s="126" t="n">
        <v>3.67355</v>
      </c>
      <c r="I152" s="126" t="n">
        <v>10.38548</v>
      </c>
      <c r="J152" s="125" t="s">
        <v>27</v>
      </c>
    </row>
    <row r="153" customFormat="false" ht="14.25" hidden="true" customHeight="false" outlineLevel="0" collapsed="false">
      <c r="A153" s="125" t="s">
        <v>177</v>
      </c>
      <c r="B153" s="125" t="n">
        <v>37</v>
      </c>
      <c r="C153" s="126" t="s">
        <v>639</v>
      </c>
      <c r="D153" s="126" t="s">
        <v>269</v>
      </c>
      <c r="E153" s="126" t="s">
        <v>629</v>
      </c>
      <c r="F153" s="126" t="s">
        <v>771</v>
      </c>
      <c r="G153" s="127" t="n">
        <v>30</v>
      </c>
      <c r="H153" s="126" t="n">
        <v>3.60028</v>
      </c>
      <c r="I153" s="126" t="n">
        <v>10.34851</v>
      </c>
      <c r="J153" s="125" t="s">
        <v>27</v>
      </c>
    </row>
    <row r="154" customFormat="false" ht="14.25" hidden="true" customHeight="false" outlineLevel="0" collapsed="false">
      <c r="A154" s="119" t="s">
        <v>177</v>
      </c>
      <c r="B154" s="119" t="n">
        <v>45</v>
      </c>
      <c r="C154" s="120" t="s">
        <v>289</v>
      </c>
      <c r="D154" s="120" t="s">
        <v>269</v>
      </c>
      <c r="E154" s="120" t="s">
        <v>287</v>
      </c>
      <c r="F154" s="120" t="s">
        <v>784</v>
      </c>
      <c r="G154" s="121" t="n">
        <v>50</v>
      </c>
      <c r="H154" s="120" t="n">
        <v>3.77175</v>
      </c>
      <c r="I154" s="120" t="n">
        <v>12.53225</v>
      </c>
      <c r="J154" s="119" t="s">
        <v>38</v>
      </c>
    </row>
    <row r="155" customFormat="false" ht="14.25" hidden="true" customHeight="false" outlineLevel="0" collapsed="false">
      <c r="A155" s="119" t="s">
        <v>190</v>
      </c>
      <c r="B155" s="119" t="n">
        <v>65</v>
      </c>
      <c r="C155" s="120" t="s">
        <v>288</v>
      </c>
      <c r="D155" s="120" t="s">
        <v>269</v>
      </c>
      <c r="E155" s="120" t="s">
        <v>287</v>
      </c>
      <c r="F155" s="120" t="s">
        <v>785</v>
      </c>
      <c r="G155" s="121" t="n">
        <v>32.4</v>
      </c>
      <c r="H155" s="120" t="n">
        <v>3.86423</v>
      </c>
      <c r="I155" s="120" t="n">
        <v>12.44322</v>
      </c>
      <c r="J155" s="119" t="s">
        <v>38</v>
      </c>
    </row>
    <row r="156" customFormat="false" ht="14.25" hidden="true" customHeight="false" outlineLevel="0" collapsed="false">
      <c r="A156" s="119" t="s">
        <v>190</v>
      </c>
      <c r="B156" s="119" t="n">
        <v>64</v>
      </c>
      <c r="C156" s="120" t="s">
        <v>290</v>
      </c>
      <c r="D156" s="120" t="s">
        <v>269</v>
      </c>
      <c r="E156" s="120" t="s">
        <v>287</v>
      </c>
      <c r="F156" s="120" t="s">
        <v>786</v>
      </c>
      <c r="G156" s="121" t="n">
        <v>97.2</v>
      </c>
      <c r="H156" s="120" t="n">
        <v>4.03971</v>
      </c>
      <c r="I156" s="120" t="n">
        <v>12.73775</v>
      </c>
      <c r="J156" s="119" t="s">
        <v>38</v>
      </c>
    </row>
    <row r="157" customFormat="false" ht="14.25" hidden="true" customHeight="false" outlineLevel="0" collapsed="false">
      <c r="A157" s="128" t="s">
        <v>190</v>
      </c>
      <c r="B157" s="128" t="n">
        <v>73</v>
      </c>
      <c r="C157" s="129" t="s">
        <v>347</v>
      </c>
      <c r="D157" s="129" t="s">
        <v>269</v>
      </c>
      <c r="E157" s="129" t="s">
        <v>345</v>
      </c>
      <c r="F157" s="129" t="s">
        <v>780</v>
      </c>
      <c r="G157" s="130" t="n">
        <v>32.4</v>
      </c>
      <c r="H157" s="129" t="n">
        <v>3.61453</v>
      </c>
      <c r="I157" s="129" t="n">
        <v>11.75183</v>
      </c>
      <c r="J157" s="128" t="s">
        <v>40</v>
      </c>
    </row>
    <row r="158" customFormat="false" ht="14.25" hidden="true" customHeight="false" outlineLevel="0" collapsed="false">
      <c r="A158" s="128" t="s">
        <v>190</v>
      </c>
      <c r="B158" s="128" t="n">
        <v>80</v>
      </c>
      <c r="C158" s="129" t="s">
        <v>348</v>
      </c>
      <c r="D158" s="129" t="s">
        <v>269</v>
      </c>
      <c r="E158" s="129" t="s">
        <v>345</v>
      </c>
      <c r="F158" s="129" t="s">
        <v>780</v>
      </c>
      <c r="G158" s="130" t="n">
        <v>97.2</v>
      </c>
      <c r="H158" s="129" t="n">
        <v>3.627</v>
      </c>
      <c r="I158" s="129" t="n">
        <v>11.92188</v>
      </c>
      <c r="J158" s="128" t="s">
        <v>40</v>
      </c>
    </row>
    <row r="159" customFormat="false" ht="14.25" hidden="true" customHeight="false" outlineLevel="0" collapsed="false">
      <c r="A159" s="128" t="s">
        <v>190</v>
      </c>
      <c r="B159" s="128" t="n">
        <v>89</v>
      </c>
      <c r="C159" s="129" t="s">
        <v>350</v>
      </c>
      <c r="D159" s="129" t="s">
        <v>269</v>
      </c>
      <c r="E159" s="129" t="s">
        <v>345</v>
      </c>
      <c r="F159" s="129" t="s">
        <v>780</v>
      </c>
      <c r="G159" s="130" t="n">
        <v>21.6</v>
      </c>
      <c r="H159" s="129" t="n">
        <v>3.81111</v>
      </c>
      <c r="I159" s="129" t="n">
        <v>11.81983</v>
      </c>
      <c r="J159" s="128" t="s">
        <v>40</v>
      </c>
    </row>
    <row r="160" customFormat="false" ht="14.25" hidden="true" customHeight="false" outlineLevel="0" collapsed="false">
      <c r="A160" s="128" t="s">
        <v>190</v>
      </c>
      <c r="B160" s="128" t="n">
        <v>61</v>
      </c>
      <c r="C160" s="129" t="s">
        <v>349</v>
      </c>
      <c r="D160" s="129" t="s">
        <v>269</v>
      </c>
      <c r="E160" s="129" t="s">
        <v>345</v>
      </c>
      <c r="F160" s="129" t="s">
        <v>781</v>
      </c>
      <c r="G160" s="130" t="n">
        <v>21.6</v>
      </c>
      <c r="H160" s="129" t="n">
        <v>3.41145</v>
      </c>
      <c r="I160" s="129" t="n">
        <v>11.65004</v>
      </c>
      <c r="J160" s="128" t="s">
        <v>40</v>
      </c>
    </row>
    <row r="161" customFormat="false" ht="14.25" hidden="true" customHeight="false" outlineLevel="0" collapsed="false">
      <c r="A161" s="128" t="s">
        <v>190</v>
      </c>
      <c r="B161" s="128" t="n">
        <v>90</v>
      </c>
      <c r="C161" s="129" t="s">
        <v>351</v>
      </c>
      <c r="D161" s="129" t="s">
        <v>269</v>
      </c>
      <c r="E161" s="129" t="s">
        <v>345</v>
      </c>
      <c r="F161" s="129" t="s">
        <v>782</v>
      </c>
      <c r="G161" s="130" t="n">
        <v>32.4</v>
      </c>
      <c r="H161" s="129" t="n">
        <v>3.333079</v>
      </c>
      <c r="I161" s="129" t="n">
        <v>11.401686</v>
      </c>
      <c r="J161" s="128" t="s">
        <v>40</v>
      </c>
    </row>
    <row r="162" customFormat="false" ht="14.25" hidden="true" customHeight="false" outlineLevel="0" collapsed="false">
      <c r="A162" s="128" t="s">
        <v>175</v>
      </c>
      <c r="B162" s="128" t="n">
        <v>13</v>
      </c>
      <c r="C162" s="129" t="s">
        <v>346</v>
      </c>
      <c r="D162" s="129" t="s">
        <v>269</v>
      </c>
      <c r="E162" s="129" t="s">
        <v>345</v>
      </c>
      <c r="F162" s="129" t="s">
        <v>783</v>
      </c>
      <c r="G162" s="130" t="n">
        <v>32.4</v>
      </c>
      <c r="H162" s="129" t="n">
        <v>3.29957</v>
      </c>
      <c r="I162" s="129" t="n">
        <v>11.28971</v>
      </c>
      <c r="J162" s="128" t="s">
        <v>40</v>
      </c>
    </row>
    <row r="163" customFormat="false" ht="14.25" hidden="true" customHeight="false" outlineLevel="0" collapsed="false">
      <c r="A163" s="131" t="s">
        <v>177</v>
      </c>
      <c r="B163" s="131" t="n">
        <v>75</v>
      </c>
      <c r="C163" s="132" t="s">
        <v>292</v>
      </c>
      <c r="D163" s="132" t="s">
        <v>53</v>
      </c>
      <c r="E163" s="132" t="s">
        <v>291</v>
      </c>
      <c r="F163" s="132" t="s">
        <v>848</v>
      </c>
      <c r="G163" s="133" t="n">
        <v>50</v>
      </c>
      <c r="H163" s="132" t="n">
        <v>5.22633</v>
      </c>
      <c r="I163" s="132" t="n">
        <v>13.08272</v>
      </c>
      <c r="J163" s="131" t="s">
        <v>38</v>
      </c>
    </row>
    <row r="164" customFormat="false" ht="14.25" hidden="true" customHeight="false" outlineLevel="0" collapsed="false">
      <c r="A164" s="119" t="s">
        <v>190</v>
      </c>
      <c r="B164" s="119" t="n">
        <v>106</v>
      </c>
      <c r="C164" s="120" t="s">
        <v>294</v>
      </c>
      <c r="D164" s="120" t="s">
        <v>53</v>
      </c>
      <c r="E164" s="120" t="s">
        <v>293</v>
      </c>
      <c r="F164" s="120" t="s">
        <v>294</v>
      </c>
      <c r="G164" s="121" t="n">
        <v>140.4</v>
      </c>
      <c r="H164" s="120" t="n">
        <v>3.922831</v>
      </c>
      <c r="I164" s="120" t="n">
        <v>15.110221</v>
      </c>
      <c r="J164" s="119" t="s">
        <v>38</v>
      </c>
    </row>
    <row r="165" customFormat="false" ht="14.25" hidden="true" customHeight="false" outlineLevel="0" collapsed="false">
      <c r="A165" s="119" t="s">
        <v>175</v>
      </c>
      <c r="B165" s="119" t="n">
        <v>37</v>
      </c>
      <c r="C165" s="120" t="s">
        <v>298</v>
      </c>
      <c r="D165" s="120" t="s">
        <v>53</v>
      </c>
      <c r="E165" s="120" t="s">
        <v>293</v>
      </c>
      <c r="F165" s="120" t="s">
        <v>294</v>
      </c>
      <c r="G165" s="121" t="n">
        <v>54</v>
      </c>
      <c r="H165" s="120" t="n">
        <v>3.700796</v>
      </c>
      <c r="I165" s="120" t="n">
        <v>15.137234</v>
      </c>
      <c r="J165" s="119" t="s">
        <v>38</v>
      </c>
    </row>
    <row r="166" customFormat="false" ht="14.25" hidden="true" customHeight="false" outlineLevel="0" collapsed="false">
      <c r="A166" s="119" t="s">
        <v>190</v>
      </c>
      <c r="B166" s="119" t="n">
        <v>122</v>
      </c>
      <c r="C166" s="120" t="s">
        <v>299</v>
      </c>
      <c r="D166" s="120" t="s">
        <v>53</v>
      </c>
      <c r="E166" s="120" t="s">
        <v>293</v>
      </c>
      <c r="F166" s="120" t="s">
        <v>845</v>
      </c>
      <c r="G166" s="121" t="n">
        <v>54</v>
      </c>
      <c r="H166" s="120" t="n">
        <v>2.287068</v>
      </c>
      <c r="I166" s="120" t="n">
        <v>15.345455</v>
      </c>
      <c r="J166" s="119" t="s">
        <v>38</v>
      </c>
    </row>
    <row r="167" customFormat="false" ht="14.25" hidden="true" customHeight="false" outlineLevel="0" collapsed="false">
      <c r="A167" s="119" t="s">
        <v>190</v>
      </c>
      <c r="B167" s="119" t="n">
        <v>113</v>
      </c>
      <c r="C167" s="120" t="s">
        <v>297</v>
      </c>
      <c r="D167" s="120" t="s">
        <v>53</v>
      </c>
      <c r="E167" s="120" t="s">
        <v>293</v>
      </c>
      <c r="F167" s="120" t="s">
        <v>846</v>
      </c>
      <c r="G167" s="121" t="n">
        <v>54</v>
      </c>
      <c r="H167" s="120" t="n">
        <v>2.820859</v>
      </c>
      <c r="I167" s="120" t="n">
        <v>15.232698</v>
      </c>
      <c r="J167" s="119" t="s">
        <v>38</v>
      </c>
    </row>
    <row r="168" customFormat="false" ht="14.25" hidden="true" customHeight="false" outlineLevel="0" collapsed="false">
      <c r="A168" s="119" t="s">
        <v>190</v>
      </c>
      <c r="B168" s="119" t="n">
        <v>108</v>
      </c>
      <c r="C168" s="120" t="s">
        <v>295</v>
      </c>
      <c r="D168" s="120" t="s">
        <v>53</v>
      </c>
      <c r="E168" s="120" t="s">
        <v>293</v>
      </c>
      <c r="F168" s="120" t="s">
        <v>847</v>
      </c>
      <c r="G168" s="121" t="n">
        <v>21.6</v>
      </c>
      <c r="H168" s="120" t="n">
        <v>3.40906</v>
      </c>
      <c r="I168" s="120" t="n">
        <v>14.51691</v>
      </c>
      <c r="J168" s="119" t="s">
        <v>38</v>
      </c>
    </row>
    <row r="169" customFormat="false" ht="14.25" hidden="true" customHeight="false" outlineLevel="0" collapsed="false">
      <c r="A169" s="119" t="s">
        <v>177</v>
      </c>
      <c r="B169" s="119" t="n">
        <v>78</v>
      </c>
      <c r="C169" s="120" t="s">
        <v>296</v>
      </c>
      <c r="D169" s="120" t="s">
        <v>53</v>
      </c>
      <c r="E169" s="120" t="s">
        <v>293</v>
      </c>
      <c r="F169" s="120" t="s">
        <v>847</v>
      </c>
      <c r="G169" s="121" t="n">
        <v>80</v>
      </c>
      <c r="H169" s="120" t="n">
        <v>3.47794</v>
      </c>
      <c r="I169" s="120" t="n">
        <v>15.04755</v>
      </c>
      <c r="J169" s="119" t="s">
        <v>38</v>
      </c>
    </row>
    <row r="170" customFormat="false" ht="14.25" hidden="true" customHeight="false" outlineLevel="0" collapsed="false">
      <c r="A170" s="119" t="s">
        <v>175</v>
      </c>
      <c r="B170" s="119" t="n">
        <v>34</v>
      </c>
      <c r="C170" s="120" t="s">
        <v>314</v>
      </c>
      <c r="D170" s="120" t="s">
        <v>53</v>
      </c>
      <c r="E170" s="120" t="s">
        <v>300</v>
      </c>
      <c r="F170" s="120" t="s">
        <v>829</v>
      </c>
      <c r="G170" s="121" t="n">
        <v>81</v>
      </c>
      <c r="H170" s="120" t="n">
        <v>4.103575</v>
      </c>
      <c r="I170" s="120" t="n">
        <v>13.044132</v>
      </c>
      <c r="J170" s="119" t="s">
        <v>38</v>
      </c>
    </row>
    <row r="171" customFormat="false" ht="14.25" hidden="true" customHeight="false" outlineLevel="0" collapsed="false">
      <c r="A171" s="119" t="s">
        <v>175</v>
      </c>
      <c r="B171" s="119" t="n">
        <v>35</v>
      </c>
      <c r="C171" s="120" t="s">
        <v>315</v>
      </c>
      <c r="D171" s="120" t="s">
        <v>53</v>
      </c>
      <c r="E171" s="120" t="s">
        <v>300</v>
      </c>
      <c r="F171" s="120" t="s">
        <v>829</v>
      </c>
      <c r="G171" s="121" t="n">
        <v>32.4</v>
      </c>
      <c r="H171" s="120" t="n">
        <v>3.817438</v>
      </c>
      <c r="I171" s="120" t="n">
        <v>13.007033</v>
      </c>
      <c r="J171" s="119" t="s">
        <v>38</v>
      </c>
    </row>
    <row r="172" customFormat="false" ht="14.25" hidden="true" customHeight="false" outlineLevel="0" collapsed="false">
      <c r="A172" s="119" t="s">
        <v>175</v>
      </c>
      <c r="B172" s="119" t="n">
        <v>42</v>
      </c>
      <c r="C172" s="120" t="s">
        <v>301</v>
      </c>
      <c r="D172" s="120" t="s">
        <v>53</v>
      </c>
      <c r="E172" s="120" t="s">
        <v>300</v>
      </c>
      <c r="F172" s="120" t="s">
        <v>830</v>
      </c>
      <c r="G172" s="121" t="n">
        <v>54</v>
      </c>
      <c r="H172" s="120" t="n">
        <v>3.926321</v>
      </c>
      <c r="I172" s="120" t="n">
        <v>13.111987</v>
      </c>
      <c r="J172" s="119" t="s">
        <v>38</v>
      </c>
    </row>
    <row r="173" customFormat="false" ht="14.25" hidden="true" customHeight="false" outlineLevel="0" collapsed="false">
      <c r="A173" s="119" t="s">
        <v>190</v>
      </c>
      <c r="B173" s="119" t="n">
        <v>105</v>
      </c>
      <c r="C173" s="120" t="s">
        <v>308</v>
      </c>
      <c r="D173" s="120" t="s">
        <v>53</v>
      </c>
      <c r="E173" s="120" t="s">
        <v>300</v>
      </c>
      <c r="F173" s="120" t="s">
        <v>831</v>
      </c>
      <c r="G173" s="121" t="n">
        <v>140.4</v>
      </c>
      <c r="H173" s="120" t="n">
        <v>4.14463</v>
      </c>
      <c r="I173" s="120" t="n">
        <v>12.82437</v>
      </c>
      <c r="J173" s="119" t="s">
        <v>38</v>
      </c>
    </row>
    <row r="174" customFormat="false" ht="14.25" hidden="true" customHeight="false" outlineLevel="0" collapsed="false">
      <c r="A174" s="119" t="s">
        <v>190</v>
      </c>
      <c r="B174" s="119" t="n">
        <v>99</v>
      </c>
      <c r="C174" s="120" t="s">
        <v>321</v>
      </c>
      <c r="D174" s="120" t="s">
        <v>53</v>
      </c>
      <c r="E174" s="120" t="s">
        <v>300</v>
      </c>
      <c r="F174" s="120" t="s">
        <v>832</v>
      </c>
      <c r="G174" s="121" t="n">
        <v>32.4</v>
      </c>
      <c r="H174" s="120" t="n">
        <v>3.99513</v>
      </c>
      <c r="I174" s="120" t="n">
        <v>12.94782</v>
      </c>
      <c r="J174" s="119" t="s">
        <v>38</v>
      </c>
    </row>
    <row r="175" customFormat="false" ht="14.25" hidden="true" customHeight="false" outlineLevel="0" collapsed="false">
      <c r="A175" s="119" t="s">
        <v>190</v>
      </c>
      <c r="B175" s="119" t="n">
        <v>109</v>
      </c>
      <c r="C175" s="120" t="s">
        <v>311</v>
      </c>
      <c r="D175" s="120" t="s">
        <v>53</v>
      </c>
      <c r="E175" s="120" t="s">
        <v>300</v>
      </c>
      <c r="F175" s="120" t="s">
        <v>833</v>
      </c>
      <c r="G175" s="121" t="n">
        <v>54</v>
      </c>
      <c r="H175" s="120" t="n">
        <v>3.976067</v>
      </c>
      <c r="I175" s="120" t="n">
        <v>12.724717</v>
      </c>
      <c r="J175" s="119" t="s">
        <v>38</v>
      </c>
    </row>
    <row r="176" customFormat="false" ht="14.25" hidden="true" customHeight="false" outlineLevel="0" collapsed="false">
      <c r="A176" s="119" t="s">
        <v>190</v>
      </c>
      <c r="B176" s="119" t="n">
        <v>107</v>
      </c>
      <c r="C176" s="120" t="s">
        <v>310</v>
      </c>
      <c r="D176" s="120" t="s">
        <v>53</v>
      </c>
      <c r="E176" s="120" t="s">
        <v>300</v>
      </c>
      <c r="F176" s="120" t="s">
        <v>834</v>
      </c>
      <c r="G176" s="121" t="n">
        <v>54</v>
      </c>
      <c r="H176" s="120" t="n">
        <v>4.21546</v>
      </c>
      <c r="I176" s="120" t="n">
        <v>13.5937</v>
      </c>
      <c r="J176" s="119" t="s">
        <v>38</v>
      </c>
    </row>
    <row r="177" customFormat="false" ht="14.25" hidden="true" customHeight="false" outlineLevel="0" collapsed="false">
      <c r="A177" s="119" t="s">
        <v>177</v>
      </c>
      <c r="B177" s="119" t="n">
        <v>82</v>
      </c>
      <c r="C177" s="120" t="s">
        <v>307</v>
      </c>
      <c r="D177" s="120" t="s">
        <v>53</v>
      </c>
      <c r="E177" s="120" t="s">
        <v>300</v>
      </c>
      <c r="F177" s="120" t="s">
        <v>307</v>
      </c>
      <c r="G177" s="121" t="n">
        <v>100</v>
      </c>
      <c r="H177" s="120" t="n">
        <v>4.34418</v>
      </c>
      <c r="I177" s="120" t="n">
        <v>13.10228</v>
      </c>
      <c r="J177" s="119" t="s">
        <v>38</v>
      </c>
    </row>
    <row r="178" customFormat="false" ht="14.25" hidden="true" customHeight="false" outlineLevel="0" collapsed="false">
      <c r="A178" s="119" t="s">
        <v>177</v>
      </c>
      <c r="B178" s="119" t="n">
        <v>83</v>
      </c>
      <c r="C178" s="120" t="s">
        <v>316</v>
      </c>
      <c r="D178" s="120" t="s">
        <v>53</v>
      </c>
      <c r="E178" s="120" t="s">
        <v>300</v>
      </c>
      <c r="F178" s="120" t="s">
        <v>307</v>
      </c>
      <c r="G178" s="121" t="n">
        <v>100</v>
      </c>
      <c r="H178" s="120" t="n">
        <v>4.32014</v>
      </c>
      <c r="I178" s="120" t="n">
        <v>13.20624</v>
      </c>
      <c r="J178" s="119" t="s">
        <v>38</v>
      </c>
    </row>
    <row r="179" customFormat="false" ht="14.25" hidden="true" customHeight="false" outlineLevel="0" collapsed="false">
      <c r="A179" s="119" t="s">
        <v>190</v>
      </c>
      <c r="B179" s="119" t="n">
        <v>121</v>
      </c>
      <c r="C179" s="120" t="s">
        <v>319</v>
      </c>
      <c r="D179" s="120" t="s">
        <v>53</v>
      </c>
      <c r="E179" s="120" t="s">
        <v>300</v>
      </c>
      <c r="F179" s="120" t="s">
        <v>307</v>
      </c>
      <c r="G179" s="121" t="n">
        <v>54</v>
      </c>
      <c r="H179" s="120" t="n">
        <v>4.315745</v>
      </c>
      <c r="I179" s="120" t="n">
        <v>13.146903</v>
      </c>
      <c r="J179" s="119" t="s">
        <v>38</v>
      </c>
    </row>
    <row r="180" customFormat="false" ht="14.25" hidden="true" customHeight="false" outlineLevel="0" collapsed="false">
      <c r="A180" s="119" t="s">
        <v>190</v>
      </c>
      <c r="B180" s="119" t="n">
        <v>102</v>
      </c>
      <c r="C180" s="120" t="s">
        <v>304</v>
      </c>
      <c r="D180" s="120" t="s">
        <v>53</v>
      </c>
      <c r="E180" s="120" t="s">
        <v>300</v>
      </c>
      <c r="F180" s="120" t="s">
        <v>690</v>
      </c>
      <c r="G180" s="121" t="n">
        <v>32.4</v>
      </c>
      <c r="H180" s="120" t="n">
        <v>4.31585</v>
      </c>
      <c r="I180" s="120" t="n">
        <v>13.36925</v>
      </c>
      <c r="J180" s="119" t="s">
        <v>38</v>
      </c>
    </row>
    <row r="181" customFormat="false" ht="14.25" hidden="true" customHeight="false" outlineLevel="0" collapsed="false">
      <c r="A181" s="119" t="s">
        <v>190</v>
      </c>
      <c r="B181" s="119" t="n">
        <v>101</v>
      </c>
      <c r="C181" s="120" t="s">
        <v>303</v>
      </c>
      <c r="D181" s="120" t="s">
        <v>53</v>
      </c>
      <c r="E181" s="120" t="s">
        <v>300</v>
      </c>
      <c r="F181" s="120" t="s">
        <v>835</v>
      </c>
      <c r="G181" s="121" t="n">
        <v>32.4</v>
      </c>
      <c r="H181" s="120" t="n">
        <v>3.2192</v>
      </c>
      <c r="I181" s="120" t="n">
        <v>13.3458</v>
      </c>
      <c r="J181" s="119" t="s">
        <v>38</v>
      </c>
    </row>
    <row r="182" customFormat="false" ht="14.25" hidden="true" customHeight="false" outlineLevel="0" collapsed="false">
      <c r="A182" s="119" t="s">
        <v>190</v>
      </c>
      <c r="B182" s="119" t="n">
        <v>104</v>
      </c>
      <c r="C182" s="120" t="s">
        <v>306</v>
      </c>
      <c r="D182" s="120" t="s">
        <v>53</v>
      </c>
      <c r="E182" s="120" t="s">
        <v>300</v>
      </c>
      <c r="F182" s="120" t="s">
        <v>835</v>
      </c>
      <c r="G182" s="121" t="n">
        <v>32.4</v>
      </c>
      <c r="H182" s="120" t="n">
        <v>3.16346</v>
      </c>
      <c r="I182" s="120" t="n">
        <v>13.3593</v>
      </c>
      <c r="J182" s="119" t="s">
        <v>38</v>
      </c>
    </row>
    <row r="183" customFormat="false" ht="14.25" hidden="true" customHeight="false" outlineLevel="0" collapsed="false">
      <c r="A183" s="119" t="s">
        <v>175</v>
      </c>
      <c r="B183" s="119" t="n">
        <v>44</v>
      </c>
      <c r="C183" s="120" t="s">
        <v>309</v>
      </c>
      <c r="D183" s="120" t="s">
        <v>53</v>
      </c>
      <c r="E183" s="120" t="s">
        <v>300</v>
      </c>
      <c r="F183" s="120" t="s">
        <v>835</v>
      </c>
      <c r="G183" s="121" t="n">
        <v>32.4</v>
      </c>
      <c r="H183" s="120" t="n">
        <v>3.221136</v>
      </c>
      <c r="I183" s="120" t="n">
        <v>13.957555</v>
      </c>
      <c r="J183" s="119" t="s">
        <v>38</v>
      </c>
    </row>
    <row r="184" customFormat="false" ht="14.25" hidden="true" customHeight="false" outlineLevel="0" collapsed="false">
      <c r="A184" s="119" t="s">
        <v>190</v>
      </c>
      <c r="B184" s="119" t="n">
        <v>120</v>
      </c>
      <c r="C184" s="120" t="s">
        <v>318</v>
      </c>
      <c r="D184" s="120" t="s">
        <v>53</v>
      </c>
      <c r="E184" s="120" t="s">
        <v>300</v>
      </c>
      <c r="F184" s="120" t="s">
        <v>836</v>
      </c>
      <c r="G184" s="121" t="n">
        <v>21.6</v>
      </c>
      <c r="H184" s="120" t="n">
        <v>4.1487</v>
      </c>
      <c r="I184" s="120" t="n">
        <v>12.87413</v>
      </c>
      <c r="J184" s="119" t="s">
        <v>38</v>
      </c>
    </row>
    <row r="185" customFormat="false" ht="14.25" hidden="true" customHeight="false" outlineLevel="0" collapsed="false">
      <c r="A185" s="119" t="s">
        <v>177</v>
      </c>
      <c r="B185" s="119" t="n">
        <v>74</v>
      </c>
      <c r="C185" s="120" t="s">
        <v>317</v>
      </c>
      <c r="D185" s="120" t="s">
        <v>53</v>
      </c>
      <c r="E185" s="120" t="s">
        <v>300</v>
      </c>
      <c r="F185" s="120" t="s">
        <v>837</v>
      </c>
      <c r="G185" s="121" t="n">
        <v>50</v>
      </c>
      <c r="H185" s="120" t="n">
        <v>3.82469</v>
      </c>
      <c r="I185" s="120" t="n">
        <v>12.74024</v>
      </c>
      <c r="J185" s="119" t="s">
        <v>38</v>
      </c>
    </row>
    <row r="186" customFormat="false" ht="14.25" hidden="true" customHeight="false" outlineLevel="0" collapsed="false">
      <c r="A186" s="119" t="s">
        <v>175</v>
      </c>
      <c r="B186" s="119" t="n">
        <v>33</v>
      </c>
      <c r="C186" s="120" t="s">
        <v>312</v>
      </c>
      <c r="D186" s="120" t="s">
        <v>53</v>
      </c>
      <c r="E186" s="120" t="s">
        <v>300</v>
      </c>
      <c r="F186" s="120" t="s">
        <v>838</v>
      </c>
      <c r="G186" s="121" t="n">
        <v>97.2</v>
      </c>
      <c r="H186" s="120" t="n">
        <v>3.086115</v>
      </c>
      <c r="I186" s="120" t="n">
        <v>14.062821</v>
      </c>
      <c r="J186" s="119" t="s">
        <v>38</v>
      </c>
    </row>
    <row r="187" customFormat="false" ht="14.25" hidden="true" customHeight="false" outlineLevel="0" collapsed="false">
      <c r="A187" s="119" t="s">
        <v>190</v>
      </c>
      <c r="B187" s="119" t="n">
        <v>100</v>
      </c>
      <c r="C187" s="120" t="s">
        <v>302</v>
      </c>
      <c r="D187" s="120" t="s">
        <v>53</v>
      </c>
      <c r="E187" s="120" t="s">
        <v>300</v>
      </c>
      <c r="F187" s="120" t="s">
        <v>313</v>
      </c>
      <c r="G187" s="121" t="n">
        <v>81</v>
      </c>
      <c r="H187" s="120" t="n">
        <v>4.01403</v>
      </c>
      <c r="I187" s="120" t="n">
        <v>13.10191</v>
      </c>
      <c r="J187" s="119" t="s">
        <v>38</v>
      </c>
    </row>
    <row r="188" customFormat="false" ht="14.25" hidden="true" customHeight="false" outlineLevel="0" collapsed="false">
      <c r="A188" s="119" t="s">
        <v>177</v>
      </c>
      <c r="B188" s="119" t="n">
        <v>76</v>
      </c>
      <c r="C188" s="120" t="s">
        <v>305</v>
      </c>
      <c r="D188" s="120" t="s">
        <v>53</v>
      </c>
      <c r="E188" s="120" t="s">
        <v>300</v>
      </c>
      <c r="F188" s="120" t="s">
        <v>313</v>
      </c>
      <c r="G188" s="121" t="n">
        <v>80</v>
      </c>
      <c r="H188" s="120" t="n">
        <v>3.41794</v>
      </c>
      <c r="I188" s="120" t="n">
        <v>13.53747</v>
      </c>
      <c r="J188" s="119" t="s">
        <v>38</v>
      </c>
    </row>
    <row r="189" customFormat="false" ht="14.25" hidden="true" customHeight="false" outlineLevel="0" collapsed="false">
      <c r="A189" s="119" t="s">
        <v>177</v>
      </c>
      <c r="B189" s="119" t="n">
        <v>81</v>
      </c>
      <c r="C189" s="120" t="s">
        <v>313</v>
      </c>
      <c r="D189" s="120" t="s">
        <v>53</v>
      </c>
      <c r="E189" s="120" t="s">
        <v>300</v>
      </c>
      <c r="F189" s="120" t="s">
        <v>313</v>
      </c>
      <c r="G189" s="121" t="n">
        <v>80</v>
      </c>
      <c r="H189" s="120" t="n">
        <v>3.567297</v>
      </c>
      <c r="I189" s="120" t="n">
        <v>13.399705</v>
      </c>
      <c r="J189" s="119" t="s">
        <v>38</v>
      </c>
    </row>
    <row r="190" customFormat="false" ht="14.25" hidden="true" customHeight="false" outlineLevel="0" collapsed="false">
      <c r="A190" s="119" t="s">
        <v>175</v>
      </c>
      <c r="B190" s="119" t="n">
        <v>43</v>
      </c>
      <c r="C190" s="120" t="s">
        <v>320</v>
      </c>
      <c r="D190" s="120" t="s">
        <v>53</v>
      </c>
      <c r="E190" s="120" t="s">
        <v>300</v>
      </c>
      <c r="F190" s="120" t="s">
        <v>839</v>
      </c>
      <c r="G190" s="121" t="n">
        <v>54</v>
      </c>
      <c r="H190" s="120" t="n">
        <v>2.182279</v>
      </c>
      <c r="I190" s="120" t="n">
        <v>13.703359</v>
      </c>
      <c r="J190" s="119" t="s">
        <v>38</v>
      </c>
    </row>
    <row r="191" customFormat="false" ht="14.25" hidden="true" customHeight="false" outlineLevel="0" collapsed="false">
      <c r="A191" s="119" t="s">
        <v>177</v>
      </c>
      <c r="B191" s="119" t="n">
        <v>77</v>
      </c>
      <c r="C191" s="120" t="s">
        <v>325</v>
      </c>
      <c r="D191" s="120" t="s">
        <v>53</v>
      </c>
      <c r="E191" s="120" t="s">
        <v>322</v>
      </c>
      <c r="F191" s="120" t="s">
        <v>325</v>
      </c>
      <c r="G191" s="121" t="n">
        <v>80</v>
      </c>
      <c r="H191" s="120" t="n">
        <v>4.18075</v>
      </c>
      <c r="I191" s="120" t="n">
        <v>15.02819</v>
      </c>
      <c r="J191" s="119" t="s">
        <v>38</v>
      </c>
    </row>
    <row r="192" customFormat="false" ht="14.25" hidden="true" customHeight="false" outlineLevel="0" collapsed="false">
      <c r="A192" s="119" t="s">
        <v>177</v>
      </c>
      <c r="B192" s="119" t="n">
        <v>80</v>
      </c>
      <c r="C192" s="120" t="s">
        <v>324</v>
      </c>
      <c r="D192" s="120" t="s">
        <v>53</v>
      </c>
      <c r="E192" s="120" t="s">
        <v>322</v>
      </c>
      <c r="F192" s="120" t="s">
        <v>326</v>
      </c>
      <c r="G192" s="121" t="n">
        <v>80</v>
      </c>
      <c r="H192" s="120" t="n">
        <v>4.69383</v>
      </c>
      <c r="I192" s="120" t="n">
        <v>14.71277</v>
      </c>
      <c r="J192" s="119" t="s">
        <v>38</v>
      </c>
    </row>
    <row r="193" customFormat="false" ht="14.25" hidden="true" customHeight="false" outlineLevel="0" collapsed="false">
      <c r="A193" s="119" t="s">
        <v>177</v>
      </c>
      <c r="B193" s="119" t="n">
        <v>79</v>
      </c>
      <c r="C193" s="120" t="s">
        <v>326</v>
      </c>
      <c r="D193" s="120" t="s">
        <v>53</v>
      </c>
      <c r="E193" s="120" t="s">
        <v>322</v>
      </c>
      <c r="F193" s="120" t="s">
        <v>326</v>
      </c>
      <c r="G193" s="121" t="n">
        <v>80</v>
      </c>
      <c r="H193" s="120" t="n">
        <v>4.89036</v>
      </c>
      <c r="I193" s="120" t="n">
        <v>14.54107</v>
      </c>
      <c r="J193" s="119" t="s">
        <v>38</v>
      </c>
    </row>
    <row r="194" customFormat="false" ht="14.25" hidden="true" customHeight="false" outlineLevel="0" collapsed="false">
      <c r="A194" s="119" t="s">
        <v>190</v>
      </c>
      <c r="B194" s="119" t="n">
        <v>110</v>
      </c>
      <c r="C194" s="120" t="s">
        <v>327</v>
      </c>
      <c r="D194" s="120" t="s">
        <v>53</v>
      </c>
      <c r="E194" s="120" t="s">
        <v>322</v>
      </c>
      <c r="F194" s="120" t="s">
        <v>327</v>
      </c>
      <c r="G194" s="121" t="n">
        <v>183.6</v>
      </c>
      <c r="H194" s="120" t="n">
        <v>3.96743</v>
      </c>
      <c r="I194" s="120" t="n">
        <v>14.26794</v>
      </c>
      <c r="J194" s="119" t="s">
        <v>38</v>
      </c>
    </row>
    <row r="195" customFormat="false" ht="14.25" hidden="true" customHeight="false" outlineLevel="0" collapsed="false">
      <c r="A195" s="119" t="s">
        <v>175</v>
      </c>
      <c r="B195" s="119" t="n">
        <v>40</v>
      </c>
      <c r="C195" s="120" t="s">
        <v>323</v>
      </c>
      <c r="D195" s="120" t="s">
        <v>53</v>
      </c>
      <c r="E195" s="120" t="s">
        <v>322</v>
      </c>
      <c r="F195" s="120" t="s">
        <v>837</v>
      </c>
      <c r="G195" s="121" t="n">
        <v>54</v>
      </c>
      <c r="H195" s="120" t="n">
        <v>3.729268</v>
      </c>
      <c r="I195" s="120" t="n">
        <v>12.651307</v>
      </c>
      <c r="J195" s="119" t="s">
        <v>38</v>
      </c>
    </row>
    <row r="196" customFormat="false" ht="14.25" hidden="true" customHeight="false" outlineLevel="0" collapsed="false">
      <c r="A196" s="119" t="s">
        <v>190</v>
      </c>
      <c r="B196" s="119" t="n">
        <v>114</v>
      </c>
      <c r="C196" s="120" t="s">
        <v>328</v>
      </c>
      <c r="D196" s="120" t="s">
        <v>53</v>
      </c>
      <c r="E196" s="120" t="s">
        <v>322</v>
      </c>
      <c r="F196" s="120" t="s">
        <v>329</v>
      </c>
      <c r="G196" s="121" t="n">
        <v>97.2</v>
      </c>
      <c r="H196" s="120" t="n">
        <v>4.111083</v>
      </c>
      <c r="I196" s="120" t="n">
        <v>14.574029</v>
      </c>
      <c r="J196" s="119" t="s">
        <v>38</v>
      </c>
    </row>
    <row r="197" customFormat="false" ht="14.25" hidden="true" customHeight="false" outlineLevel="0" collapsed="false">
      <c r="A197" s="119" t="s">
        <v>190</v>
      </c>
      <c r="B197" s="119" t="n">
        <v>115</v>
      </c>
      <c r="C197" s="120" t="s">
        <v>329</v>
      </c>
      <c r="D197" s="120" t="s">
        <v>53</v>
      </c>
      <c r="E197" s="120" t="s">
        <v>322</v>
      </c>
      <c r="F197" s="120" t="s">
        <v>329</v>
      </c>
      <c r="G197" s="121" t="n">
        <v>140.4</v>
      </c>
      <c r="H197" s="120" t="n">
        <v>4.045704</v>
      </c>
      <c r="I197" s="120" t="n">
        <v>14.924622</v>
      </c>
      <c r="J197" s="119" t="s">
        <v>38</v>
      </c>
    </row>
    <row r="198" customFormat="false" ht="14.25" hidden="true" customHeight="false" outlineLevel="0" collapsed="false">
      <c r="A198" s="119" t="s">
        <v>190</v>
      </c>
      <c r="B198" s="119" t="n">
        <v>118</v>
      </c>
      <c r="C198" s="120" t="s">
        <v>330</v>
      </c>
      <c r="D198" s="120" t="s">
        <v>53</v>
      </c>
      <c r="E198" s="120" t="s">
        <v>322</v>
      </c>
      <c r="F198" s="120" t="s">
        <v>329</v>
      </c>
      <c r="G198" s="121" t="n">
        <v>97.2</v>
      </c>
      <c r="H198" s="120" t="n">
        <v>4.189266</v>
      </c>
      <c r="I198" s="120" t="n">
        <v>14.754301</v>
      </c>
      <c r="J198" s="119" t="s">
        <v>38</v>
      </c>
    </row>
    <row r="199" customFormat="false" ht="14.25" hidden="true" customHeight="false" outlineLevel="0" collapsed="false">
      <c r="A199" s="119" t="s">
        <v>175</v>
      </c>
      <c r="B199" s="119" t="n">
        <v>36</v>
      </c>
      <c r="C199" s="120" t="s">
        <v>331</v>
      </c>
      <c r="D199" s="120" t="s">
        <v>53</v>
      </c>
      <c r="E199" s="120" t="s">
        <v>322</v>
      </c>
      <c r="F199" s="120" t="s">
        <v>844</v>
      </c>
      <c r="G199" s="121" t="n">
        <v>81</v>
      </c>
      <c r="H199" s="120" t="n">
        <v>4.270194</v>
      </c>
      <c r="I199" s="120" t="n">
        <v>14.054796</v>
      </c>
      <c r="J199" s="119" t="s">
        <v>38</v>
      </c>
    </row>
    <row r="200" customFormat="false" ht="14.25" hidden="true" customHeight="false" outlineLevel="0" collapsed="false">
      <c r="A200" s="119" t="s">
        <v>175</v>
      </c>
      <c r="B200" s="119" t="n">
        <v>41</v>
      </c>
      <c r="C200" s="120" t="s">
        <v>334</v>
      </c>
      <c r="D200" s="120" t="s">
        <v>53</v>
      </c>
      <c r="E200" s="120" t="s">
        <v>332</v>
      </c>
      <c r="F200" s="120" t="s">
        <v>840</v>
      </c>
      <c r="G200" s="121" t="n">
        <v>32.4</v>
      </c>
      <c r="H200" s="120" t="n">
        <v>5.52325</v>
      </c>
      <c r="I200" s="120" t="n">
        <v>14.18074</v>
      </c>
      <c r="J200" s="119" t="s">
        <v>38</v>
      </c>
    </row>
    <row r="201" customFormat="false" ht="14.25" hidden="true" customHeight="false" outlineLevel="0" collapsed="false">
      <c r="A201" s="119" t="s">
        <v>175</v>
      </c>
      <c r="B201" s="119" t="n">
        <v>32</v>
      </c>
      <c r="C201" s="120" t="s">
        <v>336</v>
      </c>
      <c r="D201" s="120" t="s">
        <v>53</v>
      </c>
      <c r="E201" s="120" t="s">
        <v>332</v>
      </c>
      <c r="F201" s="120" t="s">
        <v>840</v>
      </c>
      <c r="G201" s="121" t="n">
        <v>54</v>
      </c>
      <c r="H201" s="120" t="n">
        <v>5.579854</v>
      </c>
      <c r="I201" s="120" t="n">
        <v>13.867605</v>
      </c>
      <c r="J201" s="119" t="s">
        <v>38</v>
      </c>
    </row>
    <row r="202" customFormat="false" ht="14.25" hidden="true" customHeight="false" outlineLevel="0" collapsed="false">
      <c r="A202" s="119" t="s">
        <v>190</v>
      </c>
      <c r="B202" s="119" t="n">
        <v>112</v>
      </c>
      <c r="C202" s="120" t="s">
        <v>339</v>
      </c>
      <c r="D202" s="120" t="s">
        <v>53</v>
      </c>
      <c r="E202" s="120" t="s">
        <v>332</v>
      </c>
      <c r="F202" s="120" t="s">
        <v>840</v>
      </c>
      <c r="G202" s="121" t="n">
        <v>32.4</v>
      </c>
      <c r="H202" s="120" t="n">
        <v>5.57896</v>
      </c>
      <c r="I202" s="120" t="n">
        <v>13.89698</v>
      </c>
      <c r="J202" s="119" t="s">
        <v>38</v>
      </c>
    </row>
    <row r="203" customFormat="false" ht="14.25" hidden="true" customHeight="false" outlineLevel="0" collapsed="false">
      <c r="A203" s="119" t="s">
        <v>175</v>
      </c>
      <c r="B203" s="119" t="n">
        <v>38</v>
      </c>
      <c r="C203" s="120" t="s">
        <v>341</v>
      </c>
      <c r="D203" s="120" t="s">
        <v>53</v>
      </c>
      <c r="E203" s="120" t="s">
        <v>332</v>
      </c>
      <c r="F203" s="120" t="s">
        <v>840</v>
      </c>
      <c r="G203" s="121" t="n">
        <v>183.6</v>
      </c>
      <c r="H203" s="120" t="n">
        <v>5.508345</v>
      </c>
      <c r="I203" s="120" t="n">
        <v>14.136175</v>
      </c>
      <c r="J203" s="119" t="s">
        <v>38</v>
      </c>
    </row>
    <row r="204" customFormat="false" ht="14.25" hidden="true" customHeight="false" outlineLevel="0" collapsed="false">
      <c r="A204" s="119" t="s">
        <v>190</v>
      </c>
      <c r="B204" s="119" t="n">
        <v>103</v>
      </c>
      <c r="C204" s="120" t="s">
        <v>335</v>
      </c>
      <c r="D204" s="120" t="s">
        <v>53</v>
      </c>
      <c r="E204" s="120" t="s">
        <v>332</v>
      </c>
      <c r="F204" s="120" t="s">
        <v>841</v>
      </c>
      <c r="G204" s="121" t="n">
        <v>140.4</v>
      </c>
      <c r="H204" s="120" t="n">
        <v>5.4947</v>
      </c>
      <c r="I204" s="120" t="n">
        <v>14.2938</v>
      </c>
      <c r="J204" s="119" t="s">
        <v>38</v>
      </c>
    </row>
    <row r="205" customFormat="false" ht="14.25" hidden="true" customHeight="false" outlineLevel="0" collapsed="false">
      <c r="A205" s="119" t="s">
        <v>190</v>
      </c>
      <c r="B205" s="119" t="n">
        <v>111</v>
      </c>
      <c r="C205" s="120" t="s">
        <v>338</v>
      </c>
      <c r="D205" s="120" t="s">
        <v>53</v>
      </c>
      <c r="E205" s="120" t="s">
        <v>332</v>
      </c>
      <c r="F205" s="120" t="s">
        <v>841</v>
      </c>
      <c r="G205" s="121" t="n">
        <v>183.6</v>
      </c>
      <c r="H205" s="120" t="n">
        <v>5.70086</v>
      </c>
      <c r="I205" s="120" t="n">
        <v>13.325977</v>
      </c>
      <c r="J205" s="119" t="s">
        <v>38</v>
      </c>
    </row>
    <row r="206" customFormat="false" ht="14.25" hidden="true" customHeight="false" outlineLevel="0" collapsed="false">
      <c r="A206" s="119" t="s">
        <v>190</v>
      </c>
      <c r="B206" s="119" t="n">
        <v>116</v>
      </c>
      <c r="C206" s="120" t="s">
        <v>340</v>
      </c>
      <c r="D206" s="120" t="s">
        <v>53</v>
      </c>
      <c r="E206" s="120" t="s">
        <v>332</v>
      </c>
      <c r="F206" s="120" t="s">
        <v>841</v>
      </c>
      <c r="G206" s="121" t="n">
        <v>140.4</v>
      </c>
      <c r="H206" s="120" t="n">
        <v>5.5137</v>
      </c>
      <c r="I206" s="120" t="n">
        <v>14.12124</v>
      </c>
      <c r="J206" s="119" t="s">
        <v>38</v>
      </c>
    </row>
    <row r="207" customFormat="false" ht="14.25" hidden="true" customHeight="false" outlineLevel="0" collapsed="false">
      <c r="A207" s="119" t="s">
        <v>190</v>
      </c>
      <c r="B207" s="119" t="n">
        <v>98</v>
      </c>
      <c r="C207" s="120" t="s">
        <v>333</v>
      </c>
      <c r="D207" s="120" t="s">
        <v>53</v>
      </c>
      <c r="E207" s="120" t="s">
        <v>332</v>
      </c>
      <c r="F207" s="120" t="s">
        <v>842</v>
      </c>
      <c r="G207" s="121" t="n">
        <v>21.6</v>
      </c>
      <c r="H207" s="120" t="n">
        <v>4.66415</v>
      </c>
      <c r="I207" s="120" t="n">
        <v>13.31979</v>
      </c>
      <c r="J207" s="119" t="s">
        <v>38</v>
      </c>
    </row>
    <row r="208" customFormat="false" ht="14.25" hidden="true" customHeight="false" outlineLevel="0" collapsed="false">
      <c r="A208" s="119" t="s">
        <v>177</v>
      </c>
      <c r="B208" s="119" t="n">
        <v>73</v>
      </c>
      <c r="C208" s="120" t="s">
        <v>337</v>
      </c>
      <c r="D208" s="120" t="s">
        <v>53</v>
      </c>
      <c r="E208" s="120" t="s">
        <v>332</v>
      </c>
      <c r="F208" s="120" t="s">
        <v>842</v>
      </c>
      <c r="G208" s="121" t="n">
        <v>30</v>
      </c>
      <c r="H208" s="120" t="n">
        <v>4.62866</v>
      </c>
      <c r="I208" s="120" t="n">
        <v>13.33025</v>
      </c>
      <c r="J208" s="119" t="s">
        <v>38</v>
      </c>
    </row>
    <row r="209" customFormat="false" ht="14.25" hidden="true" customHeight="false" outlineLevel="0" collapsed="false">
      <c r="A209" s="119" t="s">
        <v>190</v>
      </c>
      <c r="B209" s="119" t="n">
        <v>117</v>
      </c>
      <c r="C209" s="120" t="s">
        <v>342</v>
      </c>
      <c r="D209" s="120" t="s">
        <v>53</v>
      </c>
      <c r="E209" s="120" t="s">
        <v>332</v>
      </c>
      <c r="F209" s="120" t="s">
        <v>843</v>
      </c>
      <c r="G209" s="121" t="n">
        <v>32.4</v>
      </c>
      <c r="H209" s="120" t="n">
        <v>4.848111</v>
      </c>
      <c r="I209" s="120" t="n">
        <v>13.535082</v>
      </c>
      <c r="J209" s="119" t="s">
        <v>38</v>
      </c>
    </row>
    <row r="210" customFormat="false" ht="14.25" hidden="true" customHeight="false" outlineLevel="0" collapsed="false">
      <c r="A210" s="119" t="s">
        <v>175</v>
      </c>
      <c r="B210" s="119" t="n">
        <v>39</v>
      </c>
      <c r="C210" s="120" t="s">
        <v>343</v>
      </c>
      <c r="D210" s="120" t="s">
        <v>53</v>
      </c>
      <c r="E210" s="120" t="s">
        <v>332</v>
      </c>
      <c r="F210" s="120" t="s">
        <v>344</v>
      </c>
      <c r="G210" s="121" t="n">
        <v>81</v>
      </c>
      <c r="H210" s="120" t="n">
        <v>5.262182</v>
      </c>
      <c r="I210" s="120" t="n">
        <v>14.380461</v>
      </c>
      <c r="J210" s="119" t="s">
        <v>38</v>
      </c>
    </row>
    <row r="211" customFormat="false" ht="14.25" hidden="true" customHeight="false" outlineLevel="0" collapsed="false">
      <c r="A211" s="119" t="s">
        <v>190</v>
      </c>
      <c r="B211" s="119" t="n">
        <v>119</v>
      </c>
      <c r="C211" s="120" t="s">
        <v>344</v>
      </c>
      <c r="D211" s="120" t="s">
        <v>53</v>
      </c>
      <c r="E211" s="120" t="s">
        <v>332</v>
      </c>
      <c r="F211" s="120" t="s">
        <v>344</v>
      </c>
      <c r="G211" s="121" t="n">
        <v>97.2</v>
      </c>
      <c r="H211" s="120" t="n">
        <v>4.872215</v>
      </c>
      <c r="I211" s="120" t="n">
        <v>14.23997</v>
      </c>
      <c r="J211" s="119" t="s">
        <v>38</v>
      </c>
    </row>
    <row r="212" customFormat="false" ht="14.25" hidden="false" customHeight="false" outlineLevel="0" collapsed="false">
      <c r="A212" s="134" t="s">
        <v>175</v>
      </c>
      <c r="B212" s="134" t="n">
        <v>57</v>
      </c>
      <c r="C212" s="135" t="s">
        <v>532</v>
      </c>
      <c r="D212" s="135" t="s">
        <v>33</v>
      </c>
      <c r="E212" s="135" t="s">
        <v>530</v>
      </c>
      <c r="F212" s="135" t="s">
        <v>938</v>
      </c>
      <c r="G212" s="136" t="n">
        <v>81</v>
      </c>
      <c r="H212" s="135" t="n">
        <v>10.730656</v>
      </c>
      <c r="I212" s="135" t="n">
        <v>14.710365</v>
      </c>
      <c r="J212" s="134" t="s">
        <v>32</v>
      </c>
    </row>
    <row r="213" customFormat="false" ht="14.25" hidden="false" customHeight="false" outlineLevel="0" collapsed="false">
      <c r="A213" s="134" t="s">
        <v>190</v>
      </c>
      <c r="B213" s="134" t="n">
        <v>19</v>
      </c>
      <c r="C213" s="135" t="s">
        <v>531</v>
      </c>
      <c r="D213" s="135" t="s">
        <v>33</v>
      </c>
      <c r="E213" s="135" t="s">
        <v>530</v>
      </c>
      <c r="F213" s="135" t="s">
        <v>939</v>
      </c>
      <c r="G213" s="136" t="n">
        <v>21.6</v>
      </c>
      <c r="H213" s="135" t="n">
        <v>10.54063</v>
      </c>
      <c r="I213" s="135" t="n">
        <v>14.17062</v>
      </c>
      <c r="J213" s="134" t="s">
        <v>32</v>
      </c>
    </row>
    <row r="214" customFormat="false" ht="14.25" hidden="false" customHeight="false" outlineLevel="0" collapsed="false">
      <c r="A214" s="134" t="s">
        <v>190</v>
      </c>
      <c r="B214" s="134" t="n">
        <v>36</v>
      </c>
      <c r="C214" s="135" t="s">
        <v>535</v>
      </c>
      <c r="D214" s="135" t="s">
        <v>33</v>
      </c>
      <c r="E214" s="135" t="s">
        <v>530</v>
      </c>
      <c r="F214" s="135" t="s">
        <v>940</v>
      </c>
      <c r="G214" s="136" t="n">
        <v>81</v>
      </c>
      <c r="H214" s="135" t="n">
        <v>10.51524</v>
      </c>
      <c r="I214" s="135" t="n">
        <v>14.51761</v>
      </c>
      <c r="J214" s="134" t="s">
        <v>32</v>
      </c>
    </row>
    <row r="215" customFormat="false" ht="14.25" hidden="false" customHeight="false" outlineLevel="0" collapsed="false">
      <c r="A215" s="134" t="s">
        <v>175</v>
      </c>
      <c r="B215" s="134" t="n">
        <v>46</v>
      </c>
      <c r="C215" s="135" t="s">
        <v>533</v>
      </c>
      <c r="D215" s="135" t="s">
        <v>33</v>
      </c>
      <c r="E215" s="135" t="s">
        <v>530</v>
      </c>
      <c r="F215" s="135" t="s">
        <v>941</v>
      </c>
      <c r="G215" s="136" t="n">
        <v>140.4</v>
      </c>
      <c r="H215" s="135" t="n">
        <v>10.284513</v>
      </c>
      <c r="I215" s="135" t="n">
        <v>13.988181</v>
      </c>
      <c r="J215" s="134" t="s">
        <v>32</v>
      </c>
    </row>
    <row r="216" customFormat="false" ht="14.25" hidden="false" customHeight="false" outlineLevel="0" collapsed="false">
      <c r="A216" s="134" t="s">
        <v>190</v>
      </c>
      <c r="B216" s="134" t="n">
        <v>25</v>
      </c>
      <c r="C216" s="135" t="s">
        <v>534</v>
      </c>
      <c r="D216" s="135" t="s">
        <v>33</v>
      </c>
      <c r="E216" s="135" t="s">
        <v>530</v>
      </c>
      <c r="F216" s="135" t="s">
        <v>942</v>
      </c>
      <c r="G216" s="136" t="n">
        <v>140.4</v>
      </c>
      <c r="H216" s="135" t="n">
        <v>10.91983</v>
      </c>
      <c r="I216" s="135" t="n">
        <v>14.60058</v>
      </c>
      <c r="J216" s="134" t="s">
        <v>32</v>
      </c>
    </row>
    <row r="217" customFormat="false" ht="14.25" hidden="false" customHeight="false" outlineLevel="0" collapsed="false">
      <c r="A217" s="134" t="s">
        <v>175</v>
      </c>
      <c r="B217" s="134" t="n">
        <v>48</v>
      </c>
      <c r="C217" s="135" t="s">
        <v>537</v>
      </c>
      <c r="D217" s="135" t="s">
        <v>33</v>
      </c>
      <c r="E217" s="135" t="s">
        <v>536</v>
      </c>
      <c r="F217" s="135" t="s">
        <v>945</v>
      </c>
      <c r="G217" s="136" t="n">
        <v>54</v>
      </c>
      <c r="H217" s="135" t="n">
        <v>11.042789</v>
      </c>
      <c r="I217" s="135" t="n">
        <v>14.79632</v>
      </c>
      <c r="J217" s="134" t="s">
        <v>32</v>
      </c>
    </row>
    <row r="218" customFormat="false" ht="14.25" hidden="false" customHeight="false" outlineLevel="0" collapsed="false">
      <c r="A218" s="134" t="s">
        <v>190</v>
      </c>
      <c r="B218" s="134" t="n">
        <v>20</v>
      </c>
      <c r="C218" s="135" t="s">
        <v>540</v>
      </c>
      <c r="D218" s="135" t="s">
        <v>33</v>
      </c>
      <c r="E218" s="135" t="s">
        <v>538</v>
      </c>
      <c r="F218" s="135" t="s">
        <v>540</v>
      </c>
      <c r="G218" s="136" t="n">
        <v>183.6</v>
      </c>
      <c r="H218" s="135" t="n">
        <v>10.00916</v>
      </c>
      <c r="I218" s="135" t="n">
        <v>15.12445</v>
      </c>
      <c r="J218" s="134" t="s">
        <v>32</v>
      </c>
    </row>
    <row r="219" customFormat="false" ht="14.25" hidden="false" customHeight="false" outlineLevel="0" collapsed="false">
      <c r="A219" s="134" t="s">
        <v>190</v>
      </c>
      <c r="B219" s="134" t="n">
        <v>26</v>
      </c>
      <c r="C219" s="135" t="s">
        <v>542</v>
      </c>
      <c r="D219" s="135" t="s">
        <v>33</v>
      </c>
      <c r="E219" s="135" t="s">
        <v>538</v>
      </c>
      <c r="F219" s="135" t="s">
        <v>930</v>
      </c>
      <c r="G219" s="136" t="n">
        <v>32.4</v>
      </c>
      <c r="H219" s="135" t="n">
        <v>10.10487</v>
      </c>
      <c r="I219" s="135" t="n">
        <v>15.31596</v>
      </c>
      <c r="J219" s="134" t="s">
        <v>32</v>
      </c>
    </row>
    <row r="220" customFormat="false" ht="14.25" hidden="false" customHeight="false" outlineLevel="0" collapsed="false">
      <c r="A220" s="134" t="s">
        <v>175</v>
      </c>
      <c r="B220" s="134" t="n">
        <v>52</v>
      </c>
      <c r="C220" s="135" t="s">
        <v>546</v>
      </c>
      <c r="D220" s="135" t="s">
        <v>33</v>
      </c>
      <c r="E220" s="135" t="s">
        <v>538</v>
      </c>
      <c r="F220" s="135" t="s">
        <v>931</v>
      </c>
      <c r="G220" s="136" t="n">
        <v>97.2</v>
      </c>
      <c r="H220" s="135" t="n">
        <v>10.212776</v>
      </c>
      <c r="I220" s="135" t="n">
        <v>15.339487</v>
      </c>
      <c r="J220" s="134" t="s">
        <v>32</v>
      </c>
    </row>
    <row r="221" customFormat="false" ht="14.25" hidden="false" customHeight="false" outlineLevel="0" collapsed="false">
      <c r="A221" s="134" t="s">
        <v>190</v>
      </c>
      <c r="B221" s="134" t="n">
        <v>22</v>
      </c>
      <c r="C221" s="135" t="s">
        <v>541</v>
      </c>
      <c r="D221" s="135" t="s">
        <v>33</v>
      </c>
      <c r="E221" s="135" t="s">
        <v>538</v>
      </c>
      <c r="F221" s="135" t="s">
        <v>932</v>
      </c>
      <c r="G221" s="136" t="n">
        <v>140.4</v>
      </c>
      <c r="H221" s="135" t="n">
        <v>10.662117</v>
      </c>
      <c r="I221" s="135" t="n">
        <v>14.806067</v>
      </c>
      <c r="J221" s="134" t="s">
        <v>32</v>
      </c>
    </row>
    <row r="222" customFormat="false" ht="14.25" hidden="false" customHeight="false" outlineLevel="0" collapsed="false">
      <c r="A222" s="134" t="s">
        <v>175</v>
      </c>
      <c r="B222" s="134" t="n">
        <v>45</v>
      </c>
      <c r="C222" s="135" t="s">
        <v>539</v>
      </c>
      <c r="D222" s="135" t="s">
        <v>33</v>
      </c>
      <c r="E222" s="135" t="s">
        <v>538</v>
      </c>
      <c r="F222" s="135" t="s">
        <v>933</v>
      </c>
      <c r="G222" s="136" t="n">
        <v>81</v>
      </c>
      <c r="H222" s="135" t="n">
        <v>10.121607</v>
      </c>
      <c r="I222" s="135" t="n">
        <v>15.040662</v>
      </c>
      <c r="J222" s="134" t="s">
        <v>32</v>
      </c>
    </row>
    <row r="223" customFormat="false" ht="14.25" hidden="false" customHeight="false" outlineLevel="0" collapsed="false">
      <c r="A223" s="134" t="s">
        <v>190</v>
      </c>
      <c r="B223" s="134" t="n">
        <v>30</v>
      </c>
      <c r="C223" s="135" t="s">
        <v>544</v>
      </c>
      <c r="D223" s="135" t="s">
        <v>33</v>
      </c>
      <c r="E223" s="135" t="s">
        <v>538</v>
      </c>
      <c r="F223" s="135" t="s">
        <v>933</v>
      </c>
      <c r="G223" s="136" t="n">
        <v>97.2</v>
      </c>
      <c r="H223" s="135" t="n">
        <v>10.15145</v>
      </c>
      <c r="I223" s="135" t="n">
        <v>14.986383</v>
      </c>
      <c r="J223" s="134" t="s">
        <v>32</v>
      </c>
    </row>
    <row r="224" customFormat="false" ht="14.25" hidden="false" customHeight="false" outlineLevel="0" collapsed="false">
      <c r="A224" s="134" t="s">
        <v>190</v>
      </c>
      <c r="B224" s="134" t="n">
        <v>28</v>
      </c>
      <c r="C224" s="135" t="s">
        <v>543</v>
      </c>
      <c r="D224" s="135" t="s">
        <v>33</v>
      </c>
      <c r="E224" s="135" t="s">
        <v>538</v>
      </c>
      <c r="F224" s="135" t="s">
        <v>934</v>
      </c>
      <c r="G224" s="136" t="n">
        <v>54</v>
      </c>
      <c r="H224" s="135" t="n">
        <v>10.037333</v>
      </c>
      <c r="I224" s="135" t="n">
        <v>14.877067</v>
      </c>
      <c r="J224" s="134" t="s">
        <v>32</v>
      </c>
    </row>
    <row r="225" customFormat="false" ht="14.25" hidden="false" customHeight="false" outlineLevel="0" collapsed="false">
      <c r="A225" s="134" t="s">
        <v>190</v>
      </c>
      <c r="B225" s="134" t="n">
        <v>37</v>
      </c>
      <c r="C225" s="135" t="s">
        <v>545</v>
      </c>
      <c r="D225" s="135" t="s">
        <v>33</v>
      </c>
      <c r="E225" s="135" t="s">
        <v>538</v>
      </c>
      <c r="F225" s="135" t="s">
        <v>934</v>
      </c>
      <c r="G225" s="136" t="n">
        <v>97.2</v>
      </c>
      <c r="H225" s="135" t="n">
        <v>10.028517</v>
      </c>
      <c r="I225" s="135" t="n">
        <v>14.8902</v>
      </c>
      <c r="J225" s="134" t="s">
        <v>32</v>
      </c>
    </row>
    <row r="226" customFormat="false" ht="14.25" hidden="false" customHeight="false" outlineLevel="0" collapsed="false">
      <c r="A226" s="134" t="s">
        <v>190</v>
      </c>
      <c r="B226" s="134" t="n">
        <v>39</v>
      </c>
      <c r="C226" s="135" t="s">
        <v>557</v>
      </c>
      <c r="D226" s="135" t="s">
        <v>33</v>
      </c>
      <c r="E226" s="135" t="s">
        <v>547</v>
      </c>
      <c r="F226" s="135" t="s">
        <v>922</v>
      </c>
      <c r="G226" s="136" t="n">
        <v>21.6</v>
      </c>
      <c r="H226" s="135" t="n">
        <v>9.96295</v>
      </c>
      <c r="I226" s="135" t="n">
        <v>14.8642</v>
      </c>
      <c r="J226" s="134" t="s">
        <v>32</v>
      </c>
    </row>
    <row r="227" customFormat="false" ht="14.25" hidden="false" customHeight="false" outlineLevel="0" collapsed="false">
      <c r="A227" s="134" t="s">
        <v>190</v>
      </c>
      <c r="B227" s="134" t="n">
        <v>29</v>
      </c>
      <c r="C227" s="135" t="s">
        <v>552</v>
      </c>
      <c r="D227" s="135" t="s">
        <v>33</v>
      </c>
      <c r="E227" s="135" t="s">
        <v>547</v>
      </c>
      <c r="F227" s="135" t="s">
        <v>923</v>
      </c>
      <c r="G227" s="136" t="n">
        <v>140.4</v>
      </c>
      <c r="H227" s="135" t="n">
        <v>10.02219</v>
      </c>
      <c r="I227" s="135" t="n">
        <v>14.2828</v>
      </c>
      <c r="J227" s="134" t="s">
        <v>32</v>
      </c>
    </row>
    <row r="228" customFormat="false" ht="14.25" hidden="false" customHeight="false" outlineLevel="0" collapsed="false">
      <c r="A228" s="134" t="s">
        <v>175</v>
      </c>
      <c r="B228" s="134" t="n">
        <v>47</v>
      </c>
      <c r="C228" s="135" t="s">
        <v>550</v>
      </c>
      <c r="D228" s="135" t="s">
        <v>33</v>
      </c>
      <c r="E228" s="135" t="s">
        <v>547</v>
      </c>
      <c r="F228" s="135" t="s">
        <v>924</v>
      </c>
      <c r="G228" s="136" t="n">
        <v>81</v>
      </c>
      <c r="H228" s="135" t="n">
        <v>10.193378</v>
      </c>
      <c r="I228" s="135" t="n">
        <v>14.434252</v>
      </c>
      <c r="J228" s="134" t="s">
        <v>32</v>
      </c>
    </row>
    <row r="229" customFormat="false" ht="14.25" hidden="false" customHeight="false" outlineLevel="0" collapsed="false">
      <c r="A229" s="134" t="s">
        <v>175</v>
      </c>
      <c r="B229" s="134" t="n">
        <v>51</v>
      </c>
      <c r="C229" s="135" t="s">
        <v>548</v>
      </c>
      <c r="D229" s="135" t="s">
        <v>33</v>
      </c>
      <c r="E229" s="135" t="s">
        <v>547</v>
      </c>
      <c r="F229" s="135" t="s">
        <v>925</v>
      </c>
      <c r="G229" s="136" t="n">
        <v>32.4</v>
      </c>
      <c r="H229" s="135" t="n">
        <v>10.126136</v>
      </c>
      <c r="I229" s="135" t="n">
        <v>14.086064</v>
      </c>
      <c r="J229" s="134" t="s">
        <v>32</v>
      </c>
    </row>
    <row r="230" customFormat="false" ht="14.25" hidden="false" customHeight="false" outlineLevel="0" collapsed="false">
      <c r="A230" s="134" t="s">
        <v>190</v>
      </c>
      <c r="B230" s="134" t="n">
        <v>32</v>
      </c>
      <c r="C230" s="135" t="s">
        <v>554</v>
      </c>
      <c r="D230" s="135" t="s">
        <v>33</v>
      </c>
      <c r="E230" s="135" t="s">
        <v>547</v>
      </c>
      <c r="F230" s="135" t="s">
        <v>925</v>
      </c>
      <c r="G230" s="136" t="n">
        <v>140.4</v>
      </c>
      <c r="H230" s="135" t="n">
        <v>10.322414</v>
      </c>
      <c r="I230" s="135" t="n">
        <v>14.118797</v>
      </c>
      <c r="J230" s="134" t="s">
        <v>32</v>
      </c>
    </row>
    <row r="231" customFormat="false" ht="14.25" hidden="false" customHeight="false" outlineLevel="0" collapsed="false">
      <c r="A231" s="134" t="s">
        <v>190</v>
      </c>
      <c r="B231" s="134" t="n">
        <v>31</v>
      </c>
      <c r="C231" s="135" t="s">
        <v>553</v>
      </c>
      <c r="D231" s="135" t="s">
        <v>33</v>
      </c>
      <c r="E231" s="135" t="s">
        <v>547</v>
      </c>
      <c r="F231" s="135" t="s">
        <v>926</v>
      </c>
      <c r="G231" s="136" t="n">
        <v>97.2</v>
      </c>
      <c r="H231" s="135" t="n">
        <v>10.21873</v>
      </c>
      <c r="I231" s="135" t="n">
        <v>14.65577</v>
      </c>
      <c r="J231" s="134" t="s">
        <v>32</v>
      </c>
    </row>
    <row r="232" customFormat="false" ht="14.25" hidden="false" customHeight="false" outlineLevel="0" collapsed="false">
      <c r="A232" s="134" t="s">
        <v>190</v>
      </c>
      <c r="B232" s="134" t="n">
        <v>27</v>
      </c>
      <c r="C232" s="135" t="s">
        <v>551</v>
      </c>
      <c r="D232" s="135" t="s">
        <v>33</v>
      </c>
      <c r="E232" s="135" t="s">
        <v>547</v>
      </c>
      <c r="F232" s="135" t="s">
        <v>927</v>
      </c>
      <c r="G232" s="136" t="n">
        <v>183.6</v>
      </c>
      <c r="H232" s="135" t="n">
        <v>10.130517</v>
      </c>
      <c r="I232" s="135" t="n">
        <v>14.8833</v>
      </c>
      <c r="J232" s="134" t="s">
        <v>32</v>
      </c>
    </row>
    <row r="233" customFormat="false" ht="14.25" hidden="false" customHeight="false" outlineLevel="0" collapsed="false">
      <c r="A233" s="134" t="s">
        <v>190</v>
      </c>
      <c r="B233" s="134" t="n">
        <v>24</v>
      </c>
      <c r="C233" s="135" t="s">
        <v>549</v>
      </c>
      <c r="D233" s="135" t="s">
        <v>33</v>
      </c>
      <c r="E233" s="135" t="s">
        <v>547</v>
      </c>
      <c r="F233" s="135" t="s">
        <v>928</v>
      </c>
      <c r="G233" s="136" t="n">
        <v>183.6</v>
      </c>
      <c r="H233" s="135" t="n">
        <v>10.01241</v>
      </c>
      <c r="I233" s="135" t="n">
        <v>14.78303</v>
      </c>
      <c r="J233" s="134" t="s">
        <v>32</v>
      </c>
    </row>
    <row r="234" customFormat="false" ht="14.25" hidden="false" customHeight="false" outlineLevel="0" collapsed="false">
      <c r="A234" s="134" t="s">
        <v>175</v>
      </c>
      <c r="B234" s="134" t="n">
        <v>55</v>
      </c>
      <c r="C234" s="135" t="s">
        <v>555</v>
      </c>
      <c r="D234" s="135" t="s">
        <v>33</v>
      </c>
      <c r="E234" s="135" t="s">
        <v>547</v>
      </c>
      <c r="F234" s="135" t="s">
        <v>928</v>
      </c>
      <c r="G234" s="136" t="n">
        <v>81</v>
      </c>
      <c r="H234" s="135" t="n">
        <v>9.974841</v>
      </c>
      <c r="I234" s="135" t="n">
        <v>14.677176</v>
      </c>
      <c r="J234" s="134" t="s">
        <v>32</v>
      </c>
    </row>
    <row r="235" customFormat="false" ht="14.25" hidden="false" customHeight="false" outlineLevel="0" collapsed="false">
      <c r="A235" s="134" t="s">
        <v>175</v>
      </c>
      <c r="B235" s="134" t="n">
        <v>50</v>
      </c>
      <c r="C235" s="135" t="s">
        <v>556</v>
      </c>
      <c r="D235" s="135" t="s">
        <v>33</v>
      </c>
      <c r="E235" s="135" t="s">
        <v>547</v>
      </c>
      <c r="F235" s="135" t="s">
        <v>929</v>
      </c>
      <c r="G235" s="136" t="n">
        <v>54</v>
      </c>
      <c r="H235" s="135" t="n">
        <v>9.963058</v>
      </c>
      <c r="I235" s="135" t="n">
        <v>14.705799</v>
      </c>
      <c r="J235" s="134" t="s">
        <v>32</v>
      </c>
    </row>
    <row r="236" customFormat="false" ht="14.25" hidden="false" customHeight="false" outlineLevel="0" collapsed="false">
      <c r="A236" s="134" t="s">
        <v>175</v>
      </c>
      <c r="B236" s="134" t="n">
        <v>56</v>
      </c>
      <c r="C236" s="135" t="s">
        <v>560</v>
      </c>
      <c r="D236" s="135" t="s">
        <v>33</v>
      </c>
      <c r="E236" s="135" t="s">
        <v>558</v>
      </c>
      <c r="F236" s="135" t="s">
        <v>935</v>
      </c>
      <c r="G236" s="136" t="n">
        <v>81</v>
      </c>
      <c r="H236" s="135" t="n">
        <v>10.957774</v>
      </c>
      <c r="I236" s="135" t="n">
        <v>13.98822</v>
      </c>
      <c r="J236" s="134" t="s">
        <v>32</v>
      </c>
    </row>
    <row r="237" customFormat="false" ht="14.25" hidden="false" customHeight="false" outlineLevel="0" collapsed="false">
      <c r="A237" s="134" t="s">
        <v>190</v>
      </c>
      <c r="B237" s="134" t="n">
        <v>21</v>
      </c>
      <c r="C237" s="135" t="s">
        <v>559</v>
      </c>
      <c r="D237" s="135" t="s">
        <v>33</v>
      </c>
      <c r="E237" s="135" t="s">
        <v>558</v>
      </c>
      <c r="F237" s="135" t="s">
        <v>936</v>
      </c>
      <c r="G237" s="136" t="n">
        <v>32.4</v>
      </c>
      <c r="H237" s="135" t="n">
        <v>10.7984</v>
      </c>
      <c r="I237" s="135" t="n">
        <v>14.21101</v>
      </c>
      <c r="J237" s="134" t="s">
        <v>32</v>
      </c>
    </row>
    <row r="238" customFormat="false" ht="14.25" hidden="false" customHeight="false" outlineLevel="0" collapsed="false">
      <c r="A238" s="134" t="s">
        <v>190</v>
      </c>
      <c r="B238" s="134" t="n">
        <v>33</v>
      </c>
      <c r="C238" s="135" t="s">
        <v>561</v>
      </c>
      <c r="D238" s="135" t="s">
        <v>33</v>
      </c>
      <c r="E238" s="135" t="s">
        <v>558</v>
      </c>
      <c r="F238" s="135" t="s">
        <v>936</v>
      </c>
      <c r="G238" s="136" t="n">
        <v>54</v>
      </c>
      <c r="H238" s="135" t="n">
        <v>10.90822</v>
      </c>
      <c r="I238" s="135" t="n">
        <v>14.12144</v>
      </c>
      <c r="J238" s="134" t="s">
        <v>32</v>
      </c>
    </row>
    <row r="239" customFormat="false" ht="14.25" hidden="false" customHeight="false" outlineLevel="0" collapsed="false">
      <c r="A239" s="134" t="s">
        <v>175</v>
      </c>
      <c r="B239" s="134" t="n">
        <v>53</v>
      </c>
      <c r="C239" s="135" t="s">
        <v>563</v>
      </c>
      <c r="D239" s="135" t="s">
        <v>33</v>
      </c>
      <c r="E239" s="135" t="s">
        <v>558</v>
      </c>
      <c r="F239" s="135" t="s">
        <v>936</v>
      </c>
      <c r="G239" s="136" t="n">
        <v>81</v>
      </c>
      <c r="H239" s="135" t="n">
        <v>10.843725</v>
      </c>
      <c r="I239" s="135" t="n">
        <v>14.182094</v>
      </c>
      <c r="J239" s="134" t="s">
        <v>32</v>
      </c>
    </row>
    <row r="240" customFormat="false" ht="14.25" hidden="false" customHeight="false" outlineLevel="0" collapsed="false">
      <c r="A240" s="134" t="s">
        <v>175</v>
      </c>
      <c r="B240" s="134" t="n">
        <v>49</v>
      </c>
      <c r="C240" s="135" t="s">
        <v>562</v>
      </c>
      <c r="D240" s="135" t="s">
        <v>33</v>
      </c>
      <c r="E240" s="135" t="s">
        <v>558</v>
      </c>
      <c r="F240" s="135" t="s">
        <v>937</v>
      </c>
      <c r="G240" s="136" t="n">
        <v>54</v>
      </c>
      <c r="H240" s="135" t="n">
        <v>10.830526</v>
      </c>
      <c r="I240" s="135" t="n">
        <v>14.2164</v>
      </c>
      <c r="J240" s="134" t="s">
        <v>32</v>
      </c>
    </row>
    <row r="241" customFormat="false" ht="14.25" hidden="false" customHeight="false" outlineLevel="0" collapsed="false">
      <c r="A241" s="134" t="s">
        <v>190</v>
      </c>
      <c r="B241" s="134" t="n">
        <v>35</v>
      </c>
      <c r="C241" s="135" t="s">
        <v>568</v>
      </c>
      <c r="D241" s="135" t="s">
        <v>33</v>
      </c>
      <c r="E241" s="135" t="s">
        <v>564</v>
      </c>
      <c r="F241" s="135" t="s">
        <v>943</v>
      </c>
      <c r="G241" s="136" t="n">
        <v>81</v>
      </c>
      <c r="H241" s="135" t="n">
        <v>10.99183</v>
      </c>
      <c r="I241" s="135" t="n">
        <v>13.93747</v>
      </c>
      <c r="J241" s="134" t="s">
        <v>32</v>
      </c>
    </row>
    <row r="242" customFormat="false" ht="14.25" hidden="false" customHeight="false" outlineLevel="0" collapsed="false">
      <c r="A242" s="134" t="s">
        <v>175</v>
      </c>
      <c r="B242" s="134" t="n">
        <v>54</v>
      </c>
      <c r="C242" s="135" t="s">
        <v>565</v>
      </c>
      <c r="D242" s="135" t="s">
        <v>33</v>
      </c>
      <c r="E242" s="135" t="s">
        <v>564</v>
      </c>
      <c r="F242" s="135" t="s">
        <v>944</v>
      </c>
      <c r="G242" s="136" t="n">
        <v>183.6</v>
      </c>
      <c r="H242" s="135" t="n">
        <v>10.495634</v>
      </c>
      <c r="I242" s="135" t="n">
        <v>14.033948</v>
      </c>
      <c r="J242" s="134" t="s">
        <v>32</v>
      </c>
    </row>
    <row r="243" customFormat="false" ht="14.25" hidden="false" customHeight="false" outlineLevel="0" collapsed="false">
      <c r="A243" s="134" t="s">
        <v>190</v>
      </c>
      <c r="B243" s="134" t="n">
        <v>23</v>
      </c>
      <c r="C243" s="135" t="s">
        <v>566</v>
      </c>
      <c r="D243" s="135" t="s">
        <v>33</v>
      </c>
      <c r="E243" s="135" t="s">
        <v>564</v>
      </c>
      <c r="F243" s="135" t="s">
        <v>944</v>
      </c>
      <c r="G243" s="136" t="n">
        <v>32.4</v>
      </c>
      <c r="H243" s="135" t="n">
        <v>10.78121</v>
      </c>
      <c r="I243" s="135" t="n">
        <v>13.8121</v>
      </c>
      <c r="J243" s="134" t="s">
        <v>32</v>
      </c>
    </row>
    <row r="244" customFormat="false" ht="14.25" hidden="false" customHeight="false" outlineLevel="0" collapsed="false">
      <c r="A244" s="134" t="s">
        <v>190</v>
      </c>
      <c r="B244" s="134" t="n">
        <v>34</v>
      </c>
      <c r="C244" s="135" t="s">
        <v>567</v>
      </c>
      <c r="D244" s="135" t="s">
        <v>33</v>
      </c>
      <c r="E244" s="135" t="s">
        <v>564</v>
      </c>
      <c r="F244" s="135" t="s">
        <v>944</v>
      </c>
      <c r="G244" s="136" t="n">
        <v>54</v>
      </c>
      <c r="H244" s="135" t="n">
        <v>10.67051</v>
      </c>
      <c r="I244" s="135" t="n">
        <v>13.97944</v>
      </c>
      <c r="J244" s="134" t="s">
        <v>32</v>
      </c>
    </row>
    <row r="245" customFormat="false" ht="14.25" hidden="false" customHeight="false" outlineLevel="0" collapsed="false">
      <c r="A245" s="134" t="s">
        <v>190</v>
      </c>
      <c r="B245" s="134" t="n">
        <v>38</v>
      </c>
      <c r="C245" s="135" t="s">
        <v>569</v>
      </c>
      <c r="D245" s="135" t="s">
        <v>33</v>
      </c>
      <c r="E245" s="135" t="s">
        <v>564</v>
      </c>
      <c r="F245" s="135" t="s">
        <v>944</v>
      </c>
      <c r="G245" s="136" t="n">
        <v>140.4</v>
      </c>
      <c r="H245" s="135" t="n">
        <v>10.92068</v>
      </c>
      <c r="I245" s="135" t="n">
        <v>13.72994</v>
      </c>
      <c r="J245" s="134" t="s">
        <v>32</v>
      </c>
    </row>
    <row r="246" customFormat="false" ht="14.25" hidden="true" customHeight="false" outlineLevel="0" collapsed="false">
      <c r="A246" s="125" t="s">
        <v>190</v>
      </c>
      <c r="B246" s="125" t="n">
        <v>151</v>
      </c>
      <c r="C246" s="126" t="s">
        <v>644</v>
      </c>
      <c r="D246" s="126" t="s">
        <v>471</v>
      </c>
      <c r="E246" s="126" t="s">
        <v>640</v>
      </c>
      <c r="F246" s="126" t="s">
        <v>877</v>
      </c>
      <c r="G246" s="127" t="n">
        <v>54</v>
      </c>
      <c r="H246" s="126" t="n">
        <v>5.06479</v>
      </c>
      <c r="I246" s="126" t="n">
        <v>10.01161</v>
      </c>
      <c r="J246" s="125" t="s">
        <v>27</v>
      </c>
    </row>
    <row r="247" customFormat="false" ht="14.25" hidden="true" customHeight="false" outlineLevel="0" collapsed="false">
      <c r="A247" s="125" t="s">
        <v>190</v>
      </c>
      <c r="B247" s="125" t="n">
        <v>146</v>
      </c>
      <c r="C247" s="126" t="s">
        <v>642</v>
      </c>
      <c r="D247" s="126" t="s">
        <v>471</v>
      </c>
      <c r="E247" s="126" t="s">
        <v>640</v>
      </c>
      <c r="F247" s="126" t="s">
        <v>878</v>
      </c>
      <c r="G247" s="127" t="n">
        <v>32.4</v>
      </c>
      <c r="H247" s="126" t="n">
        <v>4.35831</v>
      </c>
      <c r="I247" s="126" t="n">
        <v>9.74543</v>
      </c>
      <c r="J247" s="125" t="s">
        <v>27</v>
      </c>
    </row>
    <row r="248" customFormat="false" ht="14.25" hidden="true" customHeight="false" outlineLevel="0" collapsed="false">
      <c r="A248" s="125" t="s">
        <v>175</v>
      </c>
      <c r="B248" s="125" t="n">
        <v>69</v>
      </c>
      <c r="C248" s="126" t="s">
        <v>647</v>
      </c>
      <c r="D248" s="126" t="s">
        <v>471</v>
      </c>
      <c r="E248" s="126" t="s">
        <v>640</v>
      </c>
      <c r="F248" s="126" t="s">
        <v>878</v>
      </c>
      <c r="G248" s="127" t="n">
        <v>21.6</v>
      </c>
      <c r="H248" s="126" t="n">
        <v>4.441</v>
      </c>
      <c r="I248" s="126" t="n">
        <v>9.782641</v>
      </c>
      <c r="J248" s="125" t="s">
        <v>27</v>
      </c>
    </row>
    <row r="249" customFormat="false" ht="14.25" hidden="true" customHeight="false" outlineLevel="0" collapsed="false">
      <c r="A249" s="125" t="s">
        <v>190</v>
      </c>
      <c r="B249" s="125" t="n">
        <v>147</v>
      </c>
      <c r="C249" s="126" t="s">
        <v>643</v>
      </c>
      <c r="D249" s="126" t="s">
        <v>471</v>
      </c>
      <c r="E249" s="126" t="s">
        <v>640</v>
      </c>
      <c r="F249" s="126" t="s">
        <v>879</v>
      </c>
      <c r="G249" s="127" t="n">
        <v>54</v>
      </c>
      <c r="H249" s="126" t="n">
        <v>4.717545</v>
      </c>
      <c r="I249" s="126" t="n">
        <v>9.878734</v>
      </c>
      <c r="J249" s="125" t="s">
        <v>27</v>
      </c>
    </row>
    <row r="250" customFormat="false" ht="14.25" hidden="true" customHeight="false" outlineLevel="0" collapsed="false">
      <c r="A250" s="125" t="s">
        <v>190</v>
      </c>
      <c r="B250" s="125" t="n">
        <v>156</v>
      </c>
      <c r="C250" s="126" t="s">
        <v>646</v>
      </c>
      <c r="D250" s="126" t="s">
        <v>471</v>
      </c>
      <c r="E250" s="126" t="s">
        <v>640</v>
      </c>
      <c r="F250" s="126" t="s">
        <v>880</v>
      </c>
      <c r="G250" s="127" t="n">
        <v>54</v>
      </c>
      <c r="H250" s="126" t="n">
        <v>4.974704</v>
      </c>
      <c r="I250" s="126" t="n">
        <v>9.79782</v>
      </c>
      <c r="J250" s="125" t="s">
        <v>27</v>
      </c>
    </row>
    <row r="251" customFormat="false" ht="14.25" hidden="true" customHeight="false" outlineLevel="0" collapsed="false">
      <c r="A251" s="125" t="s">
        <v>175</v>
      </c>
      <c r="B251" s="125" t="n">
        <v>61</v>
      </c>
      <c r="C251" s="126" t="s">
        <v>648</v>
      </c>
      <c r="D251" s="126" t="s">
        <v>471</v>
      </c>
      <c r="E251" s="126" t="s">
        <v>640</v>
      </c>
      <c r="F251" s="126" t="s">
        <v>880</v>
      </c>
      <c r="G251" s="127" t="n">
        <v>32.4</v>
      </c>
      <c r="H251" s="126" t="n">
        <v>4.895329</v>
      </c>
      <c r="I251" s="126" t="n">
        <v>9.796571</v>
      </c>
      <c r="J251" s="125" t="s">
        <v>27</v>
      </c>
    </row>
    <row r="252" customFormat="false" ht="14.25" hidden="true" customHeight="false" outlineLevel="0" collapsed="false">
      <c r="A252" s="125" t="s">
        <v>190</v>
      </c>
      <c r="B252" s="125" t="n">
        <v>144</v>
      </c>
      <c r="C252" s="126" t="s">
        <v>641</v>
      </c>
      <c r="D252" s="126" t="s">
        <v>471</v>
      </c>
      <c r="E252" s="126" t="s">
        <v>640</v>
      </c>
      <c r="F252" s="126" t="s">
        <v>881</v>
      </c>
      <c r="G252" s="127" t="n">
        <v>54</v>
      </c>
      <c r="H252" s="126" t="n">
        <v>4.90018</v>
      </c>
      <c r="I252" s="126" t="n">
        <v>9.86979</v>
      </c>
      <c r="J252" s="125" t="s">
        <v>27</v>
      </c>
    </row>
    <row r="253" customFormat="false" ht="14.25" hidden="true" customHeight="false" outlineLevel="0" collapsed="false">
      <c r="A253" s="125" t="s">
        <v>177</v>
      </c>
      <c r="B253" s="125" t="n">
        <v>91</v>
      </c>
      <c r="C253" s="126" t="s">
        <v>645</v>
      </c>
      <c r="D253" s="126" t="s">
        <v>471</v>
      </c>
      <c r="E253" s="126" t="s">
        <v>640</v>
      </c>
      <c r="F253" s="126" t="s">
        <v>881</v>
      </c>
      <c r="G253" s="127" t="n">
        <v>80</v>
      </c>
      <c r="H253" s="126" t="n">
        <v>4.89165</v>
      </c>
      <c r="I253" s="126" t="n">
        <v>9.88235</v>
      </c>
      <c r="J253" s="125" t="s">
        <v>27</v>
      </c>
    </row>
    <row r="254" customFormat="false" ht="14.25" hidden="true" customHeight="false" outlineLevel="0" collapsed="false">
      <c r="A254" s="137" t="s">
        <v>175</v>
      </c>
      <c r="B254" s="137" t="n">
        <v>65</v>
      </c>
      <c r="C254" s="138" t="s">
        <v>479</v>
      </c>
      <c r="D254" s="138" t="s">
        <v>471</v>
      </c>
      <c r="E254" s="138" t="s">
        <v>472</v>
      </c>
      <c r="F254" s="138" t="s">
        <v>875</v>
      </c>
      <c r="G254" s="139" t="n">
        <v>32.4</v>
      </c>
      <c r="H254" s="138" t="n">
        <v>4.958043</v>
      </c>
      <c r="I254" s="138" t="n">
        <v>10.323779</v>
      </c>
      <c r="J254" s="137" t="s">
        <v>25</v>
      </c>
    </row>
    <row r="255" customFormat="false" ht="14.25" hidden="true" customHeight="false" outlineLevel="0" collapsed="false">
      <c r="A255" s="137" t="s">
        <v>177</v>
      </c>
      <c r="B255" s="137" t="n">
        <v>85</v>
      </c>
      <c r="C255" s="138" t="s">
        <v>473</v>
      </c>
      <c r="D255" s="138" t="s">
        <v>471</v>
      </c>
      <c r="E255" s="138" t="s">
        <v>472</v>
      </c>
      <c r="F255" s="138" t="s">
        <v>876</v>
      </c>
      <c r="G255" s="139" t="n">
        <v>30</v>
      </c>
      <c r="H255" s="138" t="n">
        <v>4.58</v>
      </c>
      <c r="I255" s="138" t="n">
        <v>10.05529</v>
      </c>
      <c r="J255" s="137" t="s">
        <v>25</v>
      </c>
    </row>
    <row r="256" customFormat="false" ht="14.25" hidden="true" customHeight="false" outlineLevel="0" collapsed="false">
      <c r="A256" s="137" t="s">
        <v>190</v>
      </c>
      <c r="B256" s="137" t="n">
        <v>145</v>
      </c>
      <c r="C256" s="138" t="s">
        <v>474</v>
      </c>
      <c r="D256" s="138" t="s">
        <v>471</v>
      </c>
      <c r="E256" s="138" t="s">
        <v>472</v>
      </c>
      <c r="F256" s="138" t="s">
        <v>876</v>
      </c>
      <c r="G256" s="139" t="n">
        <v>54</v>
      </c>
      <c r="H256" s="138" t="n">
        <v>4.6275</v>
      </c>
      <c r="I256" s="138" t="n">
        <v>10.068217</v>
      </c>
      <c r="J256" s="137" t="s">
        <v>25</v>
      </c>
    </row>
    <row r="257" customFormat="false" ht="14.25" hidden="true" customHeight="false" outlineLevel="0" collapsed="false">
      <c r="A257" s="137" t="s">
        <v>175</v>
      </c>
      <c r="B257" s="137" t="n">
        <v>67</v>
      </c>
      <c r="C257" s="138" t="s">
        <v>475</v>
      </c>
      <c r="D257" s="138" t="s">
        <v>471</v>
      </c>
      <c r="E257" s="138" t="s">
        <v>472</v>
      </c>
      <c r="F257" s="138" t="s">
        <v>876</v>
      </c>
      <c r="G257" s="139" t="n">
        <v>21.6</v>
      </c>
      <c r="H257" s="138" t="n">
        <v>4.388393</v>
      </c>
      <c r="I257" s="138" t="n">
        <v>9.873058</v>
      </c>
      <c r="J257" s="137" t="s">
        <v>25</v>
      </c>
    </row>
    <row r="258" customFormat="false" ht="14.25" hidden="true" customHeight="false" outlineLevel="0" collapsed="false">
      <c r="A258" s="137" t="s">
        <v>190</v>
      </c>
      <c r="B258" s="137" t="n">
        <v>148</v>
      </c>
      <c r="C258" s="138" t="s">
        <v>476</v>
      </c>
      <c r="D258" s="138" t="s">
        <v>471</v>
      </c>
      <c r="E258" s="138" t="s">
        <v>472</v>
      </c>
      <c r="F258" s="138" t="s">
        <v>876</v>
      </c>
      <c r="G258" s="139" t="n">
        <v>21.6</v>
      </c>
      <c r="H258" s="138" t="n">
        <v>4.26713</v>
      </c>
      <c r="I258" s="138" t="n">
        <v>9.79722</v>
      </c>
      <c r="J258" s="137" t="s">
        <v>25</v>
      </c>
    </row>
    <row r="259" customFormat="false" ht="14.25" hidden="true" customHeight="false" outlineLevel="0" collapsed="false">
      <c r="A259" s="137" t="s">
        <v>190</v>
      </c>
      <c r="B259" s="137" t="n">
        <v>149</v>
      </c>
      <c r="C259" s="138" t="s">
        <v>477</v>
      </c>
      <c r="D259" s="138" t="s">
        <v>471</v>
      </c>
      <c r="E259" s="138" t="s">
        <v>472</v>
      </c>
      <c r="F259" s="138" t="s">
        <v>876</v>
      </c>
      <c r="G259" s="139" t="n">
        <v>21.6</v>
      </c>
      <c r="H259" s="138" t="n">
        <v>4.2928</v>
      </c>
      <c r="I259" s="138" t="n">
        <v>9.82871</v>
      </c>
      <c r="J259" s="137" t="s">
        <v>25</v>
      </c>
    </row>
    <row r="260" customFormat="false" ht="14.25" hidden="true" customHeight="false" outlineLevel="0" collapsed="false">
      <c r="A260" s="137" t="s">
        <v>190</v>
      </c>
      <c r="B260" s="137" t="n">
        <v>157</v>
      </c>
      <c r="C260" s="138" t="s">
        <v>480</v>
      </c>
      <c r="D260" s="138" t="s">
        <v>471</v>
      </c>
      <c r="E260" s="138" t="s">
        <v>472</v>
      </c>
      <c r="F260" s="138" t="s">
        <v>876</v>
      </c>
      <c r="G260" s="139" t="n">
        <v>183.6</v>
      </c>
      <c r="H260" s="138" t="n">
        <v>4.65456</v>
      </c>
      <c r="I260" s="138" t="n">
        <v>9.88543</v>
      </c>
      <c r="J260" s="137" t="s">
        <v>25</v>
      </c>
    </row>
    <row r="261" customFormat="false" ht="14.25" hidden="true" customHeight="false" outlineLevel="0" collapsed="false">
      <c r="A261" s="137" t="s">
        <v>177</v>
      </c>
      <c r="B261" s="137" t="n">
        <v>92</v>
      </c>
      <c r="C261" s="138" t="s">
        <v>481</v>
      </c>
      <c r="D261" s="138" t="s">
        <v>471</v>
      </c>
      <c r="E261" s="138" t="s">
        <v>472</v>
      </c>
      <c r="F261" s="138" t="s">
        <v>876</v>
      </c>
      <c r="G261" s="139" t="n">
        <v>80</v>
      </c>
      <c r="H261" s="138" t="n">
        <v>4.28198</v>
      </c>
      <c r="I261" s="138" t="n">
        <v>9.79016</v>
      </c>
      <c r="J261" s="137" t="s">
        <v>25</v>
      </c>
    </row>
    <row r="262" customFormat="false" ht="14.25" hidden="true" customHeight="false" outlineLevel="0" collapsed="false">
      <c r="A262" s="137" t="s">
        <v>175</v>
      </c>
      <c r="B262" s="137" t="n">
        <v>58</v>
      </c>
      <c r="C262" s="138" t="s">
        <v>478</v>
      </c>
      <c r="D262" s="138" t="s">
        <v>471</v>
      </c>
      <c r="E262" s="138" t="s">
        <v>472</v>
      </c>
      <c r="F262" s="138" t="s">
        <v>482</v>
      </c>
      <c r="G262" s="139" t="n">
        <v>21.6</v>
      </c>
      <c r="H262" s="138" t="n">
        <v>4.452682</v>
      </c>
      <c r="I262" s="138" t="n">
        <v>10.367148</v>
      </c>
      <c r="J262" s="137" t="s">
        <v>25</v>
      </c>
    </row>
    <row r="263" customFormat="false" ht="14.25" hidden="true" customHeight="false" outlineLevel="0" collapsed="false">
      <c r="A263" s="137" t="s">
        <v>177</v>
      </c>
      <c r="B263" s="137" t="n">
        <v>89</v>
      </c>
      <c r="C263" s="138" t="s">
        <v>482</v>
      </c>
      <c r="D263" s="138" t="s">
        <v>471</v>
      </c>
      <c r="E263" s="138" t="s">
        <v>472</v>
      </c>
      <c r="F263" s="138" t="s">
        <v>482</v>
      </c>
      <c r="G263" s="139" t="n">
        <v>80</v>
      </c>
      <c r="H263" s="138" t="n">
        <v>4.52011</v>
      </c>
      <c r="I263" s="138" t="n">
        <v>10.28837</v>
      </c>
      <c r="J263" s="137" t="s">
        <v>25</v>
      </c>
    </row>
    <row r="264" customFormat="false" ht="14.25" hidden="true" customHeight="false" outlineLevel="0" collapsed="false">
      <c r="A264" s="137" t="s">
        <v>190</v>
      </c>
      <c r="B264" s="137" t="n">
        <v>143</v>
      </c>
      <c r="C264" s="138" t="s">
        <v>484</v>
      </c>
      <c r="D264" s="138" t="s">
        <v>471</v>
      </c>
      <c r="E264" s="138" t="s">
        <v>483</v>
      </c>
      <c r="F264" s="138" t="s">
        <v>863</v>
      </c>
      <c r="G264" s="139" t="n">
        <v>32.4</v>
      </c>
      <c r="H264" s="138" t="n">
        <v>3.44023</v>
      </c>
      <c r="I264" s="138" t="n">
        <v>10.03022</v>
      </c>
      <c r="J264" s="137" t="s">
        <v>25</v>
      </c>
    </row>
    <row r="265" customFormat="false" ht="14.25" hidden="true" customHeight="false" outlineLevel="0" collapsed="false">
      <c r="A265" s="137" t="s">
        <v>175</v>
      </c>
      <c r="B265" s="137" t="n">
        <v>63</v>
      </c>
      <c r="C265" s="138" t="s">
        <v>494</v>
      </c>
      <c r="D265" s="138" t="s">
        <v>471</v>
      </c>
      <c r="E265" s="138" t="s">
        <v>483</v>
      </c>
      <c r="F265" s="138" t="s">
        <v>863</v>
      </c>
      <c r="G265" s="139" t="n">
        <v>54</v>
      </c>
      <c r="H265" s="138" t="n">
        <v>3.7945</v>
      </c>
      <c r="I265" s="138" t="n">
        <v>10.19982</v>
      </c>
      <c r="J265" s="137" t="s">
        <v>25</v>
      </c>
    </row>
    <row r="266" customFormat="false" ht="14.25" hidden="true" customHeight="false" outlineLevel="0" collapsed="false">
      <c r="A266" s="137" t="s">
        <v>190</v>
      </c>
      <c r="B266" s="137" t="n">
        <v>150</v>
      </c>
      <c r="C266" s="138" t="s">
        <v>487</v>
      </c>
      <c r="D266" s="138" t="s">
        <v>471</v>
      </c>
      <c r="E266" s="138" t="s">
        <v>483</v>
      </c>
      <c r="F266" s="138" t="s">
        <v>864</v>
      </c>
      <c r="G266" s="139" t="n">
        <v>21.6</v>
      </c>
      <c r="H266" s="138" t="n">
        <v>4.03179</v>
      </c>
      <c r="I266" s="138" t="n">
        <v>10.33563</v>
      </c>
      <c r="J266" s="137" t="s">
        <v>25</v>
      </c>
    </row>
    <row r="267" customFormat="false" ht="14.25" hidden="true" customHeight="false" outlineLevel="0" collapsed="false">
      <c r="A267" s="137" t="s">
        <v>175</v>
      </c>
      <c r="B267" s="137" t="n">
        <v>64</v>
      </c>
      <c r="C267" s="138" t="s">
        <v>502</v>
      </c>
      <c r="D267" s="138" t="s">
        <v>471</v>
      </c>
      <c r="E267" s="138" t="s">
        <v>483</v>
      </c>
      <c r="F267" s="138" t="s">
        <v>865</v>
      </c>
      <c r="G267" s="139" t="n">
        <v>32.4</v>
      </c>
      <c r="H267" s="138" t="n">
        <v>4.111743</v>
      </c>
      <c r="I267" s="138" t="n">
        <v>10.700723</v>
      </c>
      <c r="J267" s="137" t="s">
        <v>25</v>
      </c>
    </row>
    <row r="268" customFormat="false" ht="14.25" hidden="true" customHeight="false" outlineLevel="0" collapsed="false">
      <c r="A268" s="137" t="s">
        <v>175</v>
      </c>
      <c r="B268" s="137" t="n">
        <v>66</v>
      </c>
      <c r="C268" s="138" t="s">
        <v>505</v>
      </c>
      <c r="D268" s="138" t="s">
        <v>471</v>
      </c>
      <c r="E268" s="138" t="s">
        <v>483</v>
      </c>
      <c r="F268" s="138" t="s">
        <v>865</v>
      </c>
      <c r="G268" s="139" t="n">
        <v>21.6</v>
      </c>
      <c r="H268" s="138" t="n">
        <v>4.177159</v>
      </c>
      <c r="I268" s="138" t="n">
        <v>10.667134</v>
      </c>
      <c r="J268" s="137" t="s">
        <v>25</v>
      </c>
    </row>
    <row r="269" customFormat="false" ht="14.25" hidden="true" customHeight="false" outlineLevel="0" collapsed="false">
      <c r="A269" s="137" t="s">
        <v>175</v>
      </c>
      <c r="B269" s="137" t="n">
        <v>59</v>
      </c>
      <c r="C269" s="138" t="s">
        <v>501</v>
      </c>
      <c r="D269" s="138" t="s">
        <v>471</v>
      </c>
      <c r="E269" s="138" t="s">
        <v>483</v>
      </c>
      <c r="F269" s="138" t="s">
        <v>866</v>
      </c>
      <c r="G269" s="139" t="n">
        <v>32.4</v>
      </c>
      <c r="H269" s="138" t="n">
        <v>4.213428</v>
      </c>
      <c r="I269" s="138" t="n">
        <v>10.786557</v>
      </c>
      <c r="J269" s="137" t="s">
        <v>25</v>
      </c>
    </row>
    <row r="270" customFormat="false" ht="14.25" hidden="true" customHeight="false" outlineLevel="0" collapsed="false">
      <c r="A270" s="137" t="s">
        <v>175</v>
      </c>
      <c r="B270" s="137" t="n">
        <v>62</v>
      </c>
      <c r="C270" s="138" t="s">
        <v>489</v>
      </c>
      <c r="D270" s="138" t="s">
        <v>471</v>
      </c>
      <c r="E270" s="138" t="s">
        <v>483</v>
      </c>
      <c r="F270" s="138" t="s">
        <v>867</v>
      </c>
      <c r="G270" s="139" t="n">
        <v>54</v>
      </c>
      <c r="H270" s="138" t="n">
        <v>4.151492</v>
      </c>
      <c r="I270" s="138" t="n">
        <v>10.75647</v>
      </c>
      <c r="J270" s="137" t="s">
        <v>25</v>
      </c>
    </row>
    <row r="271" customFormat="false" ht="14.25" hidden="true" customHeight="false" outlineLevel="0" collapsed="false">
      <c r="A271" s="137" t="s">
        <v>190</v>
      </c>
      <c r="B271" s="137" t="n">
        <v>158</v>
      </c>
      <c r="C271" s="138" t="s">
        <v>497</v>
      </c>
      <c r="D271" s="138" t="s">
        <v>471</v>
      </c>
      <c r="E271" s="138" t="s">
        <v>483</v>
      </c>
      <c r="F271" s="138" t="s">
        <v>868</v>
      </c>
      <c r="G271" s="139" t="n">
        <v>21.6</v>
      </c>
      <c r="H271" s="138" t="n">
        <v>4.218367</v>
      </c>
      <c r="I271" s="138" t="n">
        <v>10.709867</v>
      </c>
      <c r="J271" s="137" t="s">
        <v>25</v>
      </c>
    </row>
    <row r="272" customFormat="false" ht="14.25" hidden="true" customHeight="false" outlineLevel="0" collapsed="false">
      <c r="A272" s="137" t="s">
        <v>177</v>
      </c>
      <c r="B272" s="137" t="n">
        <v>84</v>
      </c>
      <c r="C272" s="138" t="s">
        <v>491</v>
      </c>
      <c r="D272" s="138" t="s">
        <v>471</v>
      </c>
      <c r="E272" s="138" t="s">
        <v>483</v>
      </c>
      <c r="F272" s="138" t="s">
        <v>869</v>
      </c>
      <c r="G272" s="139" t="n">
        <v>15</v>
      </c>
      <c r="H272" s="138" t="n">
        <v>3.61321</v>
      </c>
      <c r="I272" s="138" t="n">
        <v>9.87925</v>
      </c>
      <c r="J272" s="137" t="s">
        <v>25</v>
      </c>
    </row>
    <row r="273" customFormat="false" ht="14.25" hidden="true" customHeight="false" outlineLevel="0" collapsed="false">
      <c r="A273" s="137" t="s">
        <v>177</v>
      </c>
      <c r="B273" s="137" t="n">
        <v>90</v>
      </c>
      <c r="C273" s="138" t="s">
        <v>506</v>
      </c>
      <c r="D273" s="138" t="s">
        <v>471</v>
      </c>
      <c r="E273" s="138" t="s">
        <v>483</v>
      </c>
      <c r="F273" s="138" t="s">
        <v>869</v>
      </c>
      <c r="G273" s="139" t="n">
        <v>80</v>
      </c>
      <c r="H273" s="138" t="n">
        <v>3.65124</v>
      </c>
      <c r="I273" s="138" t="n">
        <v>9.79422</v>
      </c>
      <c r="J273" s="137" t="s">
        <v>25</v>
      </c>
    </row>
    <row r="274" customFormat="false" ht="14.25" hidden="true" customHeight="false" outlineLevel="0" collapsed="false">
      <c r="A274" s="137" t="s">
        <v>175</v>
      </c>
      <c r="B274" s="137" t="n">
        <v>60</v>
      </c>
      <c r="C274" s="138" t="s">
        <v>490</v>
      </c>
      <c r="D274" s="138" t="s">
        <v>471</v>
      </c>
      <c r="E274" s="138" t="s">
        <v>483</v>
      </c>
      <c r="F274" s="138" t="s">
        <v>870</v>
      </c>
      <c r="G274" s="139" t="n">
        <v>32.4</v>
      </c>
      <c r="H274" s="138" t="n">
        <v>4.4465</v>
      </c>
      <c r="I274" s="138" t="n">
        <v>10.7614</v>
      </c>
      <c r="J274" s="137" t="s">
        <v>25</v>
      </c>
    </row>
    <row r="275" customFormat="false" ht="14.25" hidden="true" customHeight="false" outlineLevel="0" collapsed="false">
      <c r="A275" s="137" t="s">
        <v>190</v>
      </c>
      <c r="B275" s="137" t="n">
        <v>159</v>
      </c>
      <c r="C275" s="138" t="s">
        <v>498</v>
      </c>
      <c r="D275" s="138" t="s">
        <v>471</v>
      </c>
      <c r="E275" s="138" t="s">
        <v>483</v>
      </c>
      <c r="F275" s="138" t="s">
        <v>870</v>
      </c>
      <c r="G275" s="139" t="n">
        <v>21.6</v>
      </c>
      <c r="H275" s="138" t="n">
        <v>4.37656</v>
      </c>
      <c r="I275" s="138" t="n">
        <v>10.92732</v>
      </c>
      <c r="J275" s="137" t="s">
        <v>25</v>
      </c>
    </row>
    <row r="276" customFormat="false" ht="14.25" hidden="true" customHeight="false" outlineLevel="0" collapsed="false">
      <c r="A276" s="137" t="s">
        <v>190</v>
      </c>
      <c r="B276" s="137" t="n">
        <v>160</v>
      </c>
      <c r="C276" s="138" t="s">
        <v>499</v>
      </c>
      <c r="D276" s="138" t="s">
        <v>471</v>
      </c>
      <c r="E276" s="138" t="s">
        <v>483</v>
      </c>
      <c r="F276" s="138" t="s">
        <v>870</v>
      </c>
      <c r="G276" s="139" t="n">
        <v>81</v>
      </c>
      <c r="H276" s="138" t="n">
        <v>4.49966</v>
      </c>
      <c r="I276" s="138" t="n">
        <v>10.829</v>
      </c>
      <c r="J276" s="137" t="s">
        <v>25</v>
      </c>
    </row>
    <row r="277" customFormat="false" ht="14.25" hidden="true" customHeight="false" outlineLevel="0" collapsed="false">
      <c r="A277" s="137" t="s">
        <v>175</v>
      </c>
      <c r="B277" s="137" t="n">
        <v>68</v>
      </c>
      <c r="C277" s="138" t="s">
        <v>486</v>
      </c>
      <c r="D277" s="138" t="s">
        <v>471</v>
      </c>
      <c r="E277" s="138" t="s">
        <v>483</v>
      </c>
      <c r="F277" s="138" t="s">
        <v>871</v>
      </c>
      <c r="G277" s="139" t="n">
        <v>32.4</v>
      </c>
      <c r="H277" s="138" t="n">
        <v>3.643928</v>
      </c>
      <c r="I277" s="138" t="n">
        <v>10.272837</v>
      </c>
      <c r="J277" s="137" t="s">
        <v>25</v>
      </c>
    </row>
    <row r="278" customFormat="false" ht="14.25" hidden="true" customHeight="false" outlineLevel="0" collapsed="false">
      <c r="A278" s="137" t="s">
        <v>177</v>
      </c>
      <c r="B278" s="137" t="n">
        <v>88</v>
      </c>
      <c r="C278" s="138" t="s">
        <v>488</v>
      </c>
      <c r="D278" s="138" t="s">
        <v>471</v>
      </c>
      <c r="E278" s="138" t="s">
        <v>483</v>
      </c>
      <c r="F278" s="138" t="s">
        <v>871</v>
      </c>
      <c r="G278" s="139" t="n">
        <v>80</v>
      </c>
      <c r="H278" s="138" t="n">
        <v>3.81438333</v>
      </c>
      <c r="I278" s="138" t="n">
        <v>10.36121667</v>
      </c>
      <c r="J278" s="137" t="s">
        <v>25</v>
      </c>
    </row>
    <row r="279" customFormat="false" ht="14.25" hidden="true" customHeight="false" outlineLevel="0" collapsed="false">
      <c r="A279" s="137" t="s">
        <v>177</v>
      </c>
      <c r="B279" s="137" t="n">
        <v>86</v>
      </c>
      <c r="C279" s="138" t="s">
        <v>496</v>
      </c>
      <c r="D279" s="138" t="s">
        <v>471</v>
      </c>
      <c r="E279" s="138" t="s">
        <v>483</v>
      </c>
      <c r="F279" s="138" t="s">
        <v>871</v>
      </c>
      <c r="G279" s="139" t="n">
        <v>80</v>
      </c>
      <c r="H279" s="138" t="n">
        <v>3.74225</v>
      </c>
      <c r="I279" s="138" t="n">
        <v>10.31856667</v>
      </c>
      <c r="J279" s="137" t="s">
        <v>25</v>
      </c>
    </row>
    <row r="280" customFormat="false" ht="14.25" hidden="true" customHeight="false" outlineLevel="0" collapsed="false">
      <c r="A280" s="137" t="s">
        <v>190</v>
      </c>
      <c r="B280" s="137" t="n">
        <v>161</v>
      </c>
      <c r="C280" s="138" t="s">
        <v>500</v>
      </c>
      <c r="D280" s="138" t="s">
        <v>471</v>
      </c>
      <c r="E280" s="138" t="s">
        <v>483</v>
      </c>
      <c r="F280" s="138" t="s">
        <v>871</v>
      </c>
      <c r="G280" s="139" t="n">
        <v>97.2</v>
      </c>
      <c r="H280" s="138" t="n">
        <v>3.61033</v>
      </c>
      <c r="I280" s="138" t="n">
        <v>10.28219</v>
      </c>
      <c r="J280" s="137" t="s">
        <v>25</v>
      </c>
    </row>
    <row r="281" customFormat="false" ht="14.25" hidden="true" customHeight="false" outlineLevel="0" collapsed="false">
      <c r="A281" s="137" t="s">
        <v>190</v>
      </c>
      <c r="B281" s="137" t="n">
        <v>153</v>
      </c>
      <c r="C281" s="138" t="s">
        <v>492</v>
      </c>
      <c r="D281" s="138" t="s">
        <v>471</v>
      </c>
      <c r="E281" s="138" t="s">
        <v>483</v>
      </c>
      <c r="F281" s="138" t="s">
        <v>872</v>
      </c>
      <c r="G281" s="139" t="n">
        <v>54</v>
      </c>
      <c r="H281" s="138" t="n">
        <v>3.74289</v>
      </c>
      <c r="I281" s="138" t="n">
        <v>10.29488</v>
      </c>
      <c r="J281" s="137" t="s">
        <v>25</v>
      </c>
    </row>
    <row r="282" customFormat="false" ht="14.25" hidden="true" customHeight="false" outlineLevel="0" collapsed="false">
      <c r="A282" s="137" t="s">
        <v>190</v>
      </c>
      <c r="B282" s="137" t="n">
        <v>154</v>
      </c>
      <c r="C282" s="138" t="s">
        <v>493</v>
      </c>
      <c r="D282" s="138" t="s">
        <v>471</v>
      </c>
      <c r="E282" s="138" t="s">
        <v>483</v>
      </c>
      <c r="F282" s="138" t="s">
        <v>872</v>
      </c>
      <c r="G282" s="139" t="n">
        <v>54</v>
      </c>
      <c r="H282" s="138" t="n">
        <v>3.75321</v>
      </c>
      <c r="I282" s="138" t="n">
        <v>10.2849</v>
      </c>
      <c r="J282" s="137" t="s">
        <v>25</v>
      </c>
    </row>
    <row r="283" customFormat="false" ht="14.25" hidden="true" customHeight="false" outlineLevel="0" collapsed="false">
      <c r="A283" s="137" t="s">
        <v>190</v>
      </c>
      <c r="B283" s="137" t="n">
        <v>162</v>
      </c>
      <c r="C283" s="138" t="s">
        <v>504</v>
      </c>
      <c r="D283" s="138" t="s">
        <v>471</v>
      </c>
      <c r="E283" s="138" t="s">
        <v>483</v>
      </c>
      <c r="F283" s="138" t="s">
        <v>872</v>
      </c>
      <c r="G283" s="139" t="n">
        <v>81</v>
      </c>
      <c r="H283" s="138" t="n">
        <v>3.779448</v>
      </c>
      <c r="I283" s="138" t="n">
        <v>10.270892</v>
      </c>
      <c r="J283" s="137" t="s">
        <v>25</v>
      </c>
    </row>
    <row r="284" customFormat="false" ht="14.25" hidden="true" customHeight="false" outlineLevel="0" collapsed="false">
      <c r="A284" s="137" t="s">
        <v>175</v>
      </c>
      <c r="B284" s="137" t="n">
        <v>70</v>
      </c>
      <c r="C284" s="138" t="s">
        <v>485</v>
      </c>
      <c r="D284" s="138" t="s">
        <v>471</v>
      </c>
      <c r="E284" s="138" t="s">
        <v>483</v>
      </c>
      <c r="F284" s="138" t="s">
        <v>873</v>
      </c>
      <c r="G284" s="139" t="n">
        <v>21.6</v>
      </c>
      <c r="H284" s="138" t="n">
        <v>4.31272</v>
      </c>
      <c r="I284" s="138" t="n">
        <v>9.83642</v>
      </c>
      <c r="J284" s="137" t="s">
        <v>25</v>
      </c>
    </row>
    <row r="285" customFormat="false" ht="14.25" hidden="true" customHeight="false" outlineLevel="0" collapsed="false">
      <c r="A285" s="137" t="s">
        <v>190</v>
      </c>
      <c r="B285" s="137" t="n">
        <v>155</v>
      </c>
      <c r="C285" s="138" t="s">
        <v>495</v>
      </c>
      <c r="D285" s="138" t="s">
        <v>471</v>
      </c>
      <c r="E285" s="138" t="s">
        <v>483</v>
      </c>
      <c r="F285" s="138" t="s">
        <v>873</v>
      </c>
      <c r="G285" s="139" t="n">
        <v>21.6</v>
      </c>
      <c r="H285" s="138" t="n">
        <v>4.28795</v>
      </c>
      <c r="I285" s="138" t="n">
        <v>11.00382</v>
      </c>
      <c r="J285" s="137" t="s">
        <v>25</v>
      </c>
    </row>
    <row r="286" customFormat="false" ht="14.25" hidden="true" customHeight="false" outlineLevel="0" collapsed="false">
      <c r="A286" s="137" t="s">
        <v>177</v>
      </c>
      <c r="B286" s="137" t="n">
        <v>87</v>
      </c>
      <c r="C286" s="138" t="s">
        <v>503</v>
      </c>
      <c r="D286" s="138" t="s">
        <v>471</v>
      </c>
      <c r="E286" s="138" t="s">
        <v>483</v>
      </c>
      <c r="F286" s="138" t="s">
        <v>874</v>
      </c>
      <c r="G286" s="139" t="n">
        <v>80</v>
      </c>
      <c r="H286" s="138" t="n">
        <v>4.1177</v>
      </c>
      <c r="I286" s="138" t="n">
        <v>10.72309</v>
      </c>
      <c r="J286" s="137" t="s">
        <v>25</v>
      </c>
    </row>
    <row r="287" customFormat="false" ht="14.25" hidden="true" customHeight="false" outlineLevel="0" collapsed="false">
      <c r="A287" s="137" t="s">
        <v>190</v>
      </c>
      <c r="B287" s="137" t="n">
        <v>152</v>
      </c>
      <c r="C287" s="138" t="s">
        <v>508</v>
      </c>
      <c r="D287" s="138" t="s">
        <v>471</v>
      </c>
      <c r="E287" s="138" t="s">
        <v>507</v>
      </c>
      <c r="F287" s="138" t="s">
        <v>882</v>
      </c>
      <c r="G287" s="139" t="n">
        <v>54</v>
      </c>
      <c r="H287" s="138" t="n">
        <v>4.11342</v>
      </c>
      <c r="I287" s="138" t="n">
        <v>9.70261</v>
      </c>
      <c r="J287" s="137" t="s">
        <v>25</v>
      </c>
    </row>
    <row r="288" customFormat="false" ht="14.25" hidden="true" customHeight="false" outlineLevel="0" collapsed="false">
      <c r="A288" s="140" t="s">
        <v>190</v>
      </c>
      <c r="B288" s="140" t="n">
        <v>45</v>
      </c>
      <c r="C288" s="141" t="s">
        <v>423</v>
      </c>
      <c r="D288" s="141" t="s">
        <v>31</v>
      </c>
      <c r="E288" s="141" t="s">
        <v>419</v>
      </c>
      <c r="F288" s="141" t="s">
        <v>853</v>
      </c>
      <c r="G288" s="142" t="n">
        <v>140.4</v>
      </c>
      <c r="H288" s="141" t="n">
        <v>9.55674</v>
      </c>
      <c r="I288" s="141" t="n">
        <v>13.76755</v>
      </c>
      <c r="J288" s="140" t="s">
        <v>30</v>
      </c>
    </row>
    <row r="289" customFormat="false" ht="14.25" hidden="true" customHeight="false" outlineLevel="0" collapsed="false">
      <c r="A289" s="143" t="s">
        <v>190</v>
      </c>
      <c r="B289" s="143" t="n">
        <v>53</v>
      </c>
      <c r="C289" s="144" t="s">
        <v>426</v>
      </c>
      <c r="D289" s="144" t="s">
        <v>31</v>
      </c>
      <c r="E289" s="144" t="s">
        <v>419</v>
      </c>
      <c r="F289" s="144" t="s">
        <v>853</v>
      </c>
      <c r="G289" s="145" t="n">
        <v>97.2</v>
      </c>
      <c r="H289" s="144" t="n">
        <v>9.347667</v>
      </c>
      <c r="I289" s="144" t="n">
        <v>14.24005</v>
      </c>
      <c r="J289" s="143" t="s">
        <v>30</v>
      </c>
    </row>
    <row r="290" customFormat="false" ht="14.25" hidden="true" customHeight="false" outlineLevel="0" collapsed="false">
      <c r="A290" s="143" t="s">
        <v>190</v>
      </c>
      <c r="B290" s="143" t="n">
        <v>55</v>
      </c>
      <c r="C290" s="144" t="s">
        <v>428</v>
      </c>
      <c r="D290" s="144" t="s">
        <v>31</v>
      </c>
      <c r="E290" s="144" t="s">
        <v>419</v>
      </c>
      <c r="F290" s="144" t="s">
        <v>853</v>
      </c>
      <c r="G290" s="145" t="n">
        <v>140.4</v>
      </c>
      <c r="H290" s="144" t="n">
        <v>9.52796</v>
      </c>
      <c r="I290" s="144" t="n">
        <v>14.05727</v>
      </c>
      <c r="J290" s="143" t="s">
        <v>30</v>
      </c>
    </row>
    <row r="291" customFormat="false" ht="14.25" hidden="true" customHeight="false" outlineLevel="0" collapsed="false">
      <c r="A291" s="143" t="s">
        <v>190</v>
      </c>
      <c r="B291" s="143" t="n">
        <v>40</v>
      </c>
      <c r="C291" s="144" t="s">
        <v>420</v>
      </c>
      <c r="D291" s="144" t="s">
        <v>31</v>
      </c>
      <c r="E291" s="144" t="s">
        <v>419</v>
      </c>
      <c r="F291" s="144" t="s">
        <v>854</v>
      </c>
      <c r="G291" s="145" t="n">
        <v>97.2</v>
      </c>
      <c r="H291" s="144" t="n">
        <v>8.65423</v>
      </c>
      <c r="I291" s="144" t="n">
        <v>13.53083</v>
      </c>
      <c r="J291" s="143" t="s">
        <v>30</v>
      </c>
    </row>
    <row r="292" customFormat="false" ht="14.25" hidden="true" customHeight="false" outlineLevel="0" collapsed="false">
      <c r="A292" s="143" t="s">
        <v>190</v>
      </c>
      <c r="B292" s="143" t="n">
        <v>49</v>
      </c>
      <c r="C292" s="144" t="s">
        <v>424</v>
      </c>
      <c r="D292" s="144" t="s">
        <v>31</v>
      </c>
      <c r="E292" s="144" t="s">
        <v>419</v>
      </c>
      <c r="F292" s="144" t="s">
        <v>854</v>
      </c>
      <c r="G292" s="145" t="n">
        <v>183.6</v>
      </c>
      <c r="H292" s="144" t="n">
        <v>8.52046</v>
      </c>
      <c r="I292" s="144" t="n">
        <v>13.54655</v>
      </c>
      <c r="J292" s="143" t="s">
        <v>30</v>
      </c>
    </row>
    <row r="293" customFormat="false" ht="14.25" hidden="true" customHeight="false" outlineLevel="0" collapsed="false">
      <c r="A293" s="143" t="s">
        <v>190</v>
      </c>
      <c r="B293" s="143" t="n">
        <v>54</v>
      </c>
      <c r="C293" s="144" t="s">
        <v>427</v>
      </c>
      <c r="D293" s="144" t="s">
        <v>31</v>
      </c>
      <c r="E293" s="144" t="s">
        <v>419</v>
      </c>
      <c r="F293" s="144" t="s">
        <v>854</v>
      </c>
      <c r="G293" s="145" t="n">
        <v>97.2</v>
      </c>
      <c r="H293" s="144" t="n">
        <v>8.7104</v>
      </c>
      <c r="I293" s="144" t="n">
        <v>13.54292</v>
      </c>
      <c r="J293" s="143" t="s">
        <v>30</v>
      </c>
    </row>
    <row r="294" customFormat="false" ht="14.25" hidden="true" customHeight="false" outlineLevel="0" collapsed="false">
      <c r="A294" s="143" t="s">
        <v>190</v>
      </c>
      <c r="B294" s="143" t="n">
        <v>41</v>
      </c>
      <c r="C294" s="144" t="s">
        <v>421</v>
      </c>
      <c r="D294" s="144" t="s">
        <v>31</v>
      </c>
      <c r="E294" s="144" t="s">
        <v>419</v>
      </c>
      <c r="F294" s="144" t="s">
        <v>855</v>
      </c>
      <c r="G294" s="145" t="n">
        <v>140.4</v>
      </c>
      <c r="H294" s="144" t="n">
        <v>9.48513</v>
      </c>
      <c r="I294" s="144" t="n">
        <v>13.68001</v>
      </c>
      <c r="J294" s="143" t="s">
        <v>30</v>
      </c>
    </row>
    <row r="295" customFormat="false" ht="14.25" hidden="true" customHeight="false" outlineLevel="0" collapsed="false">
      <c r="A295" s="143" t="s">
        <v>190</v>
      </c>
      <c r="B295" s="143" t="n">
        <v>42</v>
      </c>
      <c r="C295" s="144" t="s">
        <v>422</v>
      </c>
      <c r="D295" s="144" t="s">
        <v>31</v>
      </c>
      <c r="E295" s="144" t="s">
        <v>419</v>
      </c>
      <c r="F295" s="144" t="s">
        <v>855</v>
      </c>
      <c r="G295" s="145" t="n">
        <v>97.2</v>
      </c>
      <c r="H295" s="144" t="n">
        <v>9.46089</v>
      </c>
      <c r="I295" s="144" t="n">
        <v>13.63536</v>
      </c>
      <c r="J295" s="143" t="s">
        <v>30</v>
      </c>
    </row>
    <row r="296" customFormat="false" ht="14.25" hidden="true" customHeight="false" outlineLevel="0" collapsed="false">
      <c r="A296" s="143" t="s">
        <v>190</v>
      </c>
      <c r="B296" s="143" t="n">
        <v>52</v>
      </c>
      <c r="C296" s="144" t="s">
        <v>425</v>
      </c>
      <c r="D296" s="144" t="s">
        <v>31</v>
      </c>
      <c r="E296" s="144" t="s">
        <v>419</v>
      </c>
      <c r="F296" s="144" t="s">
        <v>855</v>
      </c>
      <c r="G296" s="145" t="n">
        <v>140.4</v>
      </c>
      <c r="H296" s="144" t="n">
        <v>9.35187</v>
      </c>
      <c r="I296" s="144" t="n">
        <v>13.55091</v>
      </c>
      <c r="J296" s="143" t="s">
        <v>30</v>
      </c>
    </row>
    <row r="297" customFormat="false" ht="14.25" hidden="true" customHeight="false" outlineLevel="0" collapsed="false">
      <c r="A297" s="143" t="s">
        <v>190</v>
      </c>
      <c r="B297" s="143" t="n">
        <v>56</v>
      </c>
      <c r="C297" s="144" t="s">
        <v>429</v>
      </c>
      <c r="D297" s="144" t="s">
        <v>31</v>
      </c>
      <c r="E297" s="144" t="s">
        <v>419</v>
      </c>
      <c r="F297" s="144" t="s">
        <v>855</v>
      </c>
      <c r="G297" s="145" t="n">
        <v>21.6</v>
      </c>
      <c r="H297" s="144" t="n">
        <v>9.4944</v>
      </c>
      <c r="I297" s="144" t="n">
        <v>13.51053</v>
      </c>
      <c r="J297" s="143" t="s">
        <v>30</v>
      </c>
    </row>
    <row r="298" customFormat="false" ht="14.25" hidden="true" customHeight="false" outlineLevel="0" collapsed="false">
      <c r="A298" s="143" t="s">
        <v>175</v>
      </c>
      <c r="B298" s="143" t="n">
        <v>82</v>
      </c>
      <c r="C298" s="144" t="s">
        <v>431</v>
      </c>
      <c r="D298" s="144" t="s">
        <v>31</v>
      </c>
      <c r="E298" s="144" t="s">
        <v>430</v>
      </c>
      <c r="F298" s="144" t="s">
        <v>853</v>
      </c>
      <c r="G298" s="145" t="n">
        <v>81</v>
      </c>
      <c r="H298" s="144" t="n">
        <v>9.464854</v>
      </c>
      <c r="I298" s="144" t="n">
        <v>14.151302</v>
      </c>
      <c r="J298" s="143" t="s">
        <v>30</v>
      </c>
    </row>
    <row r="299" customFormat="false" ht="14.25" hidden="true" customHeight="false" outlineLevel="0" collapsed="false">
      <c r="A299" s="143" t="s">
        <v>175</v>
      </c>
      <c r="B299" s="143" t="n">
        <v>72</v>
      </c>
      <c r="C299" s="144" t="s">
        <v>432</v>
      </c>
      <c r="D299" s="144" t="s">
        <v>31</v>
      </c>
      <c r="E299" s="144" t="s">
        <v>430</v>
      </c>
      <c r="F299" s="144" t="s">
        <v>855</v>
      </c>
      <c r="G299" s="145" t="n">
        <v>81</v>
      </c>
      <c r="H299" s="144" t="n">
        <v>9.465661</v>
      </c>
      <c r="I299" s="144" t="n">
        <v>13.561197</v>
      </c>
      <c r="J299" s="143" t="s">
        <v>30</v>
      </c>
    </row>
    <row r="300" customFormat="false" ht="14.25" hidden="true" customHeight="false" outlineLevel="0" collapsed="false">
      <c r="A300" s="143" t="s">
        <v>190</v>
      </c>
      <c r="B300" s="143" t="n">
        <v>57</v>
      </c>
      <c r="C300" s="144" t="s">
        <v>437</v>
      </c>
      <c r="D300" s="144" t="s">
        <v>31</v>
      </c>
      <c r="E300" s="144" t="s">
        <v>433</v>
      </c>
      <c r="F300" s="144" t="s">
        <v>456</v>
      </c>
      <c r="G300" s="145" t="n">
        <v>97.2</v>
      </c>
      <c r="H300" s="144" t="n">
        <v>8.62816</v>
      </c>
      <c r="I300" s="144" t="n">
        <v>12.80697</v>
      </c>
      <c r="J300" s="143" t="s">
        <v>30</v>
      </c>
    </row>
    <row r="301" customFormat="false" ht="14.25" hidden="true" customHeight="false" outlineLevel="0" collapsed="false">
      <c r="A301" s="143" t="s">
        <v>190</v>
      </c>
      <c r="B301" s="143" t="n">
        <v>48</v>
      </c>
      <c r="C301" s="144" t="s">
        <v>434</v>
      </c>
      <c r="D301" s="144" t="s">
        <v>31</v>
      </c>
      <c r="E301" s="144" t="s">
        <v>433</v>
      </c>
      <c r="F301" s="144" t="s">
        <v>860</v>
      </c>
      <c r="G301" s="145" t="n">
        <v>140.4</v>
      </c>
      <c r="H301" s="144" t="n">
        <v>8.56652</v>
      </c>
      <c r="I301" s="144" t="n">
        <v>13.04769</v>
      </c>
      <c r="J301" s="143" t="s">
        <v>30</v>
      </c>
    </row>
    <row r="302" customFormat="false" ht="14.25" hidden="true" customHeight="false" outlineLevel="0" collapsed="false">
      <c r="A302" s="143" t="s">
        <v>175</v>
      </c>
      <c r="B302" s="143" t="n">
        <v>81</v>
      </c>
      <c r="C302" s="144" t="s">
        <v>435</v>
      </c>
      <c r="D302" s="144" t="s">
        <v>31</v>
      </c>
      <c r="E302" s="144" t="s">
        <v>433</v>
      </c>
      <c r="F302" s="144" t="s">
        <v>860</v>
      </c>
      <c r="G302" s="145" t="n">
        <v>32.4</v>
      </c>
      <c r="H302" s="144" t="n">
        <v>8.505028</v>
      </c>
      <c r="I302" s="144" t="n">
        <v>13.117209</v>
      </c>
      <c r="J302" s="143" t="s">
        <v>30</v>
      </c>
    </row>
    <row r="303" customFormat="false" ht="14.25" hidden="true" customHeight="false" outlineLevel="0" collapsed="false">
      <c r="A303" s="143" t="s">
        <v>175</v>
      </c>
      <c r="B303" s="143" t="n">
        <v>73</v>
      </c>
      <c r="C303" s="144" t="s">
        <v>436</v>
      </c>
      <c r="D303" s="144" t="s">
        <v>31</v>
      </c>
      <c r="E303" s="144" t="s">
        <v>433</v>
      </c>
      <c r="F303" s="144" t="s">
        <v>860</v>
      </c>
      <c r="G303" s="145" t="n">
        <v>32.4</v>
      </c>
      <c r="H303" s="144" t="n">
        <v>8.618655</v>
      </c>
      <c r="I303" s="144" t="n">
        <v>12.933065</v>
      </c>
      <c r="J303" s="143" t="s">
        <v>30</v>
      </c>
    </row>
    <row r="304" customFormat="false" ht="14.25" hidden="true" customHeight="false" outlineLevel="0" collapsed="false">
      <c r="A304" s="143" t="s">
        <v>175</v>
      </c>
      <c r="B304" s="143" t="n">
        <v>78</v>
      </c>
      <c r="C304" s="144" t="s">
        <v>438</v>
      </c>
      <c r="D304" s="144" t="s">
        <v>31</v>
      </c>
      <c r="E304" s="144" t="s">
        <v>433</v>
      </c>
      <c r="F304" s="144" t="s">
        <v>860</v>
      </c>
      <c r="G304" s="145" t="n">
        <v>140.4</v>
      </c>
      <c r="H304" s="144" t="n">
        <v>8.690552</v>
      </c>
      <c r="I304" s="144" t="n">
        <v>13.02704</v>
      </c>
      <c r="J304" s="143" t="s">
        <v>30</v>
      </c>
    </row>
    <row r="305" customFormat="false" ht="14.25" hidden="true" customHeight="false" outlineLevel="0" collapsed="false">
      <c r="A305" s="143" t="s">
        <v>177</v>
      </c>
      <c r="B305" s="143" t="n">
        <v>96</v>
      </c>
      <c r="C305" s="144" t="s">
        <v>440</v>
      </c>
      <c r="D305" s="144" t="s">
        <v>31</v>
      </c>
      <c r="E305" s="144" t="s">
        <v>439</v>
      </c>
      <c r="F305" s="144" t="s">
        <v>861</v>
      </c>
      <c r="G305" s="145" t="n">
        <v>80</v>
      </c>
      <c r="H305" s="144" t="n">
        <v>8.482833333</v>
      </c>
      <c r="I305" s="144" t="n">
        <v>15.13448333</v>
      </c>
      <c r="J305" s="143" t="s">
        <v>30</v>
      </c>
    </row>
    <row r="306" customFormat="false" ht="14.25" hidden="true" customHeight="false" outlineLevel="0" collapsed="false">
      <c r="A306" s="143" t="s">
        <v>177</v>
      </c>
      <c r="B306" s="143" t="n">
        <v>103</v>
      </c>
      <c r="C306" s="144" t="s">
        <v>442</v>
      </c>
      <c r="D306" s="144" t="s">
        <v>31</v>
      </c>
      <c r="E306" s="144" t="s">
        <v>439</v>
      </c>
      <c r="F306" s="144" t="s">
        <v>862</v>
      </c>
      <c r="G306" s="145" t="n">
        <v>80</v>
      </c>
      <c r="H306" s="144" t="n">
        <v>7.544083333</v>
      </c>
      <c r="I306" s="144" t="n">
        <v>15.4437</v>
      </c>
      <c r="J306" s="143" t="s">
        <v>30</v>
      </c>
    </row>
    <row r="307" customFormat="false" ht="14.25" hidden="true" customHeight="false" outlineLevel="0" collapsed="false">
      <c r="A307" s="143" t="s">
        <v>177</v>
      </c>
      <c r="B307" s="143" t="n">
        <v>95</v>
      </c>
      <c r="C307" s="144" t="s">
        <v>441</v>
      </c>
      <c r="D307" s="144" t="s">
        <v>31</v>
      </c>
      <c r="E307" s="144" t="s">
        <v>439</v>
      </c>
      <c r="F307" s="144" t="s">
        <v>851</v>
      </c>
      <c r="G307" s="145" t="n">
        <v>80</v>
      </c>
      <c r="H307" s="144" t="n">
        <v>8.47316</v>
      </c>
      <c r="I307" s="144" t="n">
        <v>13.73297</v>
      </c>
      <c r="J307" s="143" t="s">
        <v>30</v>
      </c>
    </row>
    <row r="308" customFormat="false" ht="14.25" hidden="true" customHeight="false" outlineLevel="0" collapsed="false">
      <c r="A308" s="143" t="s">
        <v>177</v>
      </c>
      <c r="B308" s="143" t="n">
        <v>104</v>
      </c>
      <c r="C308" s="144" t="s">
        <v>443</v>
      </c>
      <c r="D308" s="144" t="s">
        <v>31</v>
      </c>
      <c r="E308" s="144" t="s">
        <v>439</v>
      </c>
      <c r="F308" s="144" t="s">
        <v>852</v>
      </c>
      <c r="G308" s="145" t="n">
        <v>80</v>
      </c>
      <c r="H308" s="144" t="n">
        <v>7.625883333</v>
      </c>
      <c r="I308" s="144" t="n">
        <v>14.17398333</v>
      </c>
      <c r="J308" s="143" t="s">
        <v>30</v>
      </c>
    </row>
    <row r="309" customFormat="false" ht="14.25" hidden="true" customHeight="false" outlineLevel="0" collapsed="false">
      <c r="A309" s="143" t="s">
        <v>190</v>
      </c>
      <c r="B309" s="143" t="n">
        <v>44</v>
      </c>
      <c r="C309" s="144" t="s">
        <v>446</v>
      </c>
      <c r="D309" s="144" t="s">
        <v>31</v>
      </c>
      <c r="E309" s="144" t="s">
        <v>444</v>
      </c>
      <c r="F309" s="144" t="s">
        <v>856</v>
      </c>
      <c r="G309" s="145" t="n">
        <v>54</v>
      </c>
      <c r="H309" s="144" t="n">
        <v>9.86616</v>
      </c>
      <c r="I309" s="144" t="n">
        <v>14.10321</v>
      </c>
      <c r="J309" s="143" t="s">
        <v>30</v>
      </c>
    </row>
    <row r="310" customFormat="false" ht="14.25" hidden="true" customHeight="false" outlineLevel="0" collapsed="false">
      <c r="A310" s="143" t="s">
        <v>177</v>
      </c>
      <c r="B310" s="143" t="n">
        <v>106</v>
      </c>
      <c r="C310" s="144" t="s">
        <v>447</v>
      </c>
      <c r="D310" s="144" t="s">
        <v>31</v>
      </c>
      <c r="E310" s="144" t="s">
        <v>444</v>
      </c>
      <c r="F310" s="144" t="s">
        <v>857</v>
      </c>
      <c r="G310" s="145" t="n">
        <v>100</v>
      </c>
      <c r="H310" s="144" t="n">
        <v>9.621566667</v>
      </c>
      <c r="I310" s="144" t="n">
        <v>13.79461667</v>
      </c>
      <c r="J310" s="143" t="s">
        <v>30</v>
      </c>
    </row>
    <row r="311" customFormat="false" ht="14.25" hidden="true" customHeight="false" outlineLevel="0" collapsed="false">
      <c r="A311" s="143" t="s">
        <v>177</v>
      </c>
      <c r="B311" s="143" t="n">
        <v>94</v>
      </c>
      <c r="C311" s="144" t="s">
        <v>449</v>
      </c>
      <c r="D311" s="144" t="s">
        <v>31</v>
      </c>
      <c r="E311" s="144" t="s">
        <v>444</v>
      </c>
      <c r="F311" s="144" t="s">
        <v>857</v>
      </c>
      <c r="G311" s="145" t="n">
        <v>80</v>
      </c>
      <c r="H311" s="144" t="n">
        <v>9.85031</v>
      </c>
      <c r="I311" s="144" t="n">
        <v>13.95856</v>
      </c>
      <c r="J311" s="143" t="s">
        <v>30</v>
      </c>
    </row>
    <row r="312" customFormat="false" ht="14.25" hidden="true" customHeight="false" outlineLevel="0" collapsed="false">
      <c r="A312" s="143" t="s">
        <v>190</v>
      </c>
      <c r="B312" s="143" t="n">
        <v>51</v>
      </c>
      <c r="C312" s="144" t="s">
        <v>450</v>
      </c>
      <c r="D312" s="144" t="s">
        <v>31</v>
      </c>
      <c r="E312" s="144" t="s">
        <v>444</v>
      </c>
      <c r="F312" s="144" t="s">
        <v>857</v>
      </c>
      <c r="G312" s="145" t="n">
        <v>32.4</v>
      </c>
      <c r="H312" s="144" t="n">
        <v>10.0129</v>
      </c>
      <c r="I312" s="144" t="n">
        <v>13.79038</v>
      </c>
      <c r="J312" s="143" t="s">
        <v>30</v>
      </c>
    </row>
    <row r="313" customFormat="false" ht="14.25" hidden="true" customHeight="false" outlineLevel="0" collapsed="false">
      <c r="A313" s="143" t="s">
        <v>175</v>
      </c>
      <c r="B313" s="143" t="n">
        <v>83</v>
      </c>
      <c r="C313" s="144" t="s">
        <v>451</v>
      </c>
      <c r="D313" s="144" t="s">
        <v>31</v>
      </c>
      <c r="E313" s="144" t="s">
        <v>444</v>
      </c>
      <c r="F313" s="144" t="s">
        <v>857</v>
      </c>
      <c r="G313" s="145" t="n">
        <v>81</v>
      </c>
      <c r="H313" s="144" t="n">
        <v>10.1051</v>
      </c>
      <c r="I313" s="144" t="n">
        <v>14.032025</v>
      </c>
      <c r="J313" s="143" t="s">
        <v>30</v>
      </c>
    </row>
    <row r="314" customFormat="false" ht="14.25" hidden="true" customHeight="false" outlineLevel="0" collapsed="false">
      <c r="A314" s="143" t="s">
        <v>177</v>
      </c>
      <c r="B314" s="143" t="n">
        <v>93</v>
      </c>
      <c r="C314" s="144" t="s">
        <v>452</v>
      </c>
      <c r="D314" s="144" t="s">
        <v>31</v>
      </c>
      <c r="E314" s="144" t="s">
        <v>444</v>
      </c>
      <c r="F314" s="144" t="s">
        <v>857</v>
      </c>
      <c r="G314" s="145" t="n">
        <v>80</v>
      </c>
      <c r="H314" s="144" t="n">
        <v>10.16205</v>
      </c>
      <c r="I314" s="144" t="n">
        <v>13.89495</v>
      </c>
      <c r="J314" s="143" t="s">
        <v>30</v>
      </c>
    </row>
    <row r="315" customFormat="false" ht="14.25" hidden="true" customHeight="false" outlineLevel="0" collapsed="false">
      <c r="A315" s="143" t="s">
        <v>175</v>
      </c>
      <c r="B315" s="143" t="n">
        <v>76</v>
      </c>
      <c r="C315" s="144" t="s">
        <v>453</v>
      </c>
      <c r="D315" s="144" t="s">
        <v>31</v>
      </c>
      <c r="E315" s="144" t="s">
        <v>444</v>
      </c>
      <c r="F315" s="144" t="s">
        <v>857</v>
      </c>
      <c r="G315" s="145" t="n">
        <v>54</v>
      </c>
      <c r="H315" s="144" t="n">
        <v>9.6431</v>
      </c>
      <c r="I315" s="144" t="n">
        <v>13.863553</v>
      </c>
      <c r="J315" s="143" t="s">
        <v>30</v>
      </c>
    </row>
    <row r="316" customFormat="false" ht="14.25" hidden="true" customHeight="false" outlineLevel="0" collapsed="false">
      <c r="A316" s="143" t="s">
        <v>175</v>
      </c>
      <c r="B316" s="143" t="n">
        <v>79</v>
      </c>
      <c r="C316" s="144" t="s">
        <v>445</v>
      </c>
      <c r="D316" s="144" t="s">
        <v>31</v>
      </c>
      <c r="E316" s="144" t="s">
        <v>444</v>
      </c>
      <c r="F316" s="144" t="s">
        <v>858</v>
      </c>
      <c r="G316" s="145" t="n">
        <v>81</v>
      </c>
      <c r="H316" s="144" t="n">
        <v>10.045611</v>
      </c>
      <c r="I316" s="144" t="n">
        <v>13.324478</v>
      </c>
      <c r="J316" s="143" t="s">
        <v>30</v>
      </c>
    </row>
    <row r="317" customFormat="false" ht="14.25" hidden="true" customHeight="false" outlineLevel="0" collapsed="false">
      <c r="A317" s="143" t="s">
        <v>175</v>
      </c>
      <c r="B317" s="143" t="n">
        <v>71</v>
      </c>
      <c r="C317" s="144" t="s">
        <v>448</v>
      </c>
      <c r="D317" s="144" t="s">
        <v>31</v>
      </c>
      <c r="E317" s="144" t="s">
        <v>444</v>
      </c>
      <c r="F317" s="144" t="s">
        <v>859</v>
      </c>
      <c r="G317" s="145" t="n">
        <v>97.2</v>
      </c>
      <c r="H317" s="144" t="n">
        <v>10.056109</v>
      </c>
      <c r="I317" s="144" t="n">
        <v>13.300948</v>
      </c>
      <c r="J317" s="143" t="s">
        <v>30</v>
      </c>
    </row>
    <row r="318" customFormat="false" ht="14.25" hidden="true" customHeight="false" outlineLevel="0" collapsed="false">
      <c r="A318" s="143" t="s">
        <v>190</v>
      </c>
      <c r="B318" s="143" t="n">
        <v>43</v>
      </c>
      <c r="C318" s="144" t="s">
        <v>456</v>
      </c>
      <c r="D318" s="144" t="s">
        <v>31</v>
      </c>
      <c r="E318" s="144" t="s">
        <v>454</v>
      </c>
      <c r="F318" s="144" t="s">
        <v>456</v>
      </c>
      <c r="G318" s="145" t="n">
        <v>97.2</v>
      </c>
      <c r="H318" s="144" t="n">
        <v>9.03099</v>
      </c>
      <c r="I318" s="144" t="n">
        <v>12.89424</v>
      </c>
      <c r="J318" s="143" t="s">
        <v>30</v>
      </c>
    </row>
    <row r="319" customFormat="false" ht="14.25" hidden="true" customHeight="false" outlineLevel="0" collapsed="false">
      <c r="A319" s="143" t="s">
        <v>177</v>
      </c>
      <c r="B319" s="143" t="n">
        <v>100</v>
      </c>
      <c r="C319" s="144" t="s">
        <v>461</v>
      </c>
      <c r="D319" s="144" t="s">
        <v>31</v>
      </c>
      <c r="E319" s="144" t="s">
        <v>454</v>
      </c>
      <c r="F319" s="144" t="s">
        <v>463</v>
      </c>
      <c r="G319" s="145" t="n">
        <v>80</v>
      </c>
      <c r="H319" s="144" t="n">
        <v>8.652033333</v>
      </c>
      <c r="I319" s="144" t="n">
        <v>14.59475</v>
      </c>
      <c r="J319" s="143" t="s">
        <v>30</v>
      </c>
    </row>
    <row r="320" customFormat="false" ht="14.25" hidden="true" customHeight="false" outlineLevel="0" collapsed="false">
      <c r="A320" s="143" t="s">
        <v>177</v>
      </c>
      <c r="B320" s="143" t="n">
        <v>107</v>
      </c>
      <c r="C320" s="144" t="s">
        <v>463</v>
      </c>
      <c r="D320" s="144" t="s">
        <v>31</v>
      </c>
      <c r="E320" s="144" t="s">
        <v>454</v>
      </c>
      <c r="F320" s="144" t="s">
        <v>463</v>
      </c>
      <c r="G320" s="145" t="n">
        <v>150</v>
      </c>
      <c r="H320" s="144" t="n">
        <v>8.453783333</v>
      </c>
      <c r="I320" s="144" t="n">
        <v>14.99875</v>
      </c>
      <c r="J320" s="143" t="s">
        <v>30</v>
      </c>
    </row>
    <row r="321" customFormat="false" ht="14.25" hidden="true" customHeight="false" outlineLevel="0" collapsed="false">
      <c r="A321" s="143" t="s">
        <v>190</v>
      </c>
      <c r="B321" s="143" t="n">
        <v>50</v>
      </c>
      <c r="C321" s="144" t="s">
        <v>462</v>
      </c>
      <c r="D321" s="144" t="s">
        <v>31</v>
      </c>
      <c r="E321" s="144" t="s">
        <v>454</v>
      </c>
      <c r="F321" s="144" t="s">
        <v>468</v>
      </c>
      <c r="G321" s="145" t="n">
        <v>140.4</v>
      </c>
      <c r="H321" s="144" t="n">
        <v>8.99404</v>
      </c>
      <c r="I321" s="144" t="n">
        <v>14.46169</v>
      </c>
      <c r="J321" s="143" t="s">
        <v>30</v>
      </c>
    </row>
    <row r="322" customFormat="false" ht="14.25" hidden="true" customHeight="false" outlineLevel="0" collapsed="false">
      <c r="A322" s="143" t="s">
        <v>175</v>
      </c>
      <c r="B322" s="143" t="n">
        <v>75</v>
      </c>
      <c r="C322" s="144" t="s">
        <v>466</v>
      </c>
      <c r="D322" s="144" t="s">
        <v>31</v>
      </c>
      <c r="E322" s="144" t="s">
        <v>454</v>
      </c>
      <c r="F322" s="144" t="s">
        <v>468</v>
      </c>
      <c r="G322" s="145" t="n">
        <v>81</v>
      </c>
      <c r="H322" s="144" t="n">
        <v>9.228166</v>
      </c>
      <c r="I322" s="144" t="n">
        <v>14.344378</v>
      </c>
      <c r="J322" s="143" t="s">
        <v>30</v>
      </c>
    </row>
    <row r="323" customFormat="false" ht="14.25" hidden="true" customHeight="false" outlineLevel="0" collapsed="false">
      <c r="A323" s="143" t="s">
        <v>177</v>
      </c>
      <c r="B323" s="143" t="n">
        <v>97</v>
      </c>
      <c r="C323" s="144" t="s">
        <v>455</v>
      </c>
      <c r="D323" s="144" t="s">
        <v>31</v>
      </c>
      <c r="E323" s="144" t="s">
        <v>454</v>
      </c>
      <c r="F323" s="144" t="s">
        <v>849</v>
      </c>
      <c r="G323" s="145" t="n">
        <v>80</v>
      </c>
      <c r="H323" s="144" t="n">
        <v>9.0755</v>
      </c>
      <c r="I323" s="144" t="n">
        <v>14.4295</v>
      </c>
      <c r="J323" s="143" t="s">
        <v>30</v>
      </c>
    </row>
    <row r="324" customFormat="false" ht="14.25" hidden="true" customHeight="false" outlineLevel="0" collapsed="false">
      <c r="A324" s="143" t="s">
        <v>190</v>
      </c>
      <c r="B324" s="143" t="n">
        <v>46</v>
      </c>
      <c r="C324" s="144" t="s">
        <v>457</v>
      </c>
      <c r="D324" s="144" t="s">
        <v>31</v>
      </c>
      <c r="E324" s="144" t="s">
        <v>454</v>
      </c>
      <c r="F324" s="144" t="s">
        <v>850</v>
      </c>
      <c r="G324" s="145" t="n">
        <v>54</v>
      </c>
      <c r="H324" s="144" t="n">
        <v>8.11863</v>
      </c>
      <c r="I324" s="144" t="n">
        <v>13.83097</v>
      </c>
      <c r="J324" s="143" t="s">
        <v>30</v>
      </c>
    </row>
    <row r="325" customFormat="false" ht="14.25" hidden="true" customHeight="false" outlineLevel="0" collapsed="false">
      <c r="A325" s="143" t="s">
        <v>190</v>
      </c>
      <c r="B325" s="143" t="n">
        <v>47</v>
      </c>
      <c r="C325" s="144" t="s">
        <v>458</v>
      </c>
      <c r="D325" s="144" t="s">
        <v>31</v>
      </c>
      <c r="E325" s="144" t="s">
        <v>454</v>
      </c>
      <c r="F325" s="144" t="s">
        <v>850</v>
      </c>
      <c r="G325" s="145" t="n">
        <v>183.6</v>
      </c>
      <c r="H325" s="144" t="n">
        <v>8.37618</v>
      </c>
      <c r="I325" s="144" t="n">
        <v>13.70742</v>
      </c>
      <c r="J325" s="143" t="s">
        <v>30</v>
      </c>
    </row>
    <row r="326" customFormat="false" ht="14.25" hidden="true" customHeight="false" outlineLevel="0" collapsed="false">
      <c r="A326" s="143" t="s">
        <v>177</v>
      </c>
      <c r="B326" s="143" t="n">
        <v>98</v>
      </c>
      <c r="C326" s="144" t="s">
        <v>460</v>
      </c>
      <c r="D326" s="144" t="s">
        <v>31</v>
      </c>
      <c r="E326" s="144" t="s">
        <v>454</v>
      </c>
      <c r="F326" s="144" t="s">
        <v>850</v>
      </c>
      <c r="G326" s="145" t="n">
        <v>80</v>
      </c>
      <c r="H326" s="144" t="n">
        <v>8.098366667</v>
      </c>
      <c r="I326" s="144" t="n">
        <v>13.59061667</v>
      </c>
      <c r="J326" s="143" t="s">
        <v>30</v>
      </c>
    </row>
    <row r="327" customFormat="false" ht="14.25" hidden="true" customHeight="false" outlineLevel="0" collapsed="false">
      <c r="A327" s="143" t="s">
        <v>177</v>
      </c>
      <c r="B327" s="143" t="n">
        <v>102</v>
      </c>
      <c r="C327" s="144" t="s">
        <v>469</v>
      </c>
      <c r="D327" s="144" t="s">
        <v>31</v>
      </c>
      <c r="E327" s="144" t="s">
        <v>454</v>
      </c>
      <c r="F327" s="144" t="s">
        <v>850</v>
      </c>
      <c r="G327" s="145" t="n">
        <v>80</v>
      </c>
      <c r="H327" s="144" t="n">
        <v>8.267283333</v>
      </c>
      <c r="I327" s="144" t="n">
        <v>13.6506</v>
      </c>
      <c r="J327" s="143" t="s">
        <v>30</v>
      </c>
    </row>
    <row r="328" customFormat="false" ht="14.25" hidden="true" customHeight="false" outlineLevel="0" collapsed="false">
      <c r="A328" s="143" t="s">
        <v>175</v>
      </c>
      <c r="B328" s="143" t="n">
        <v>80</v>
      </c>
      <c r="C328" s="144" t="s">
        <v>459</v>
      </c>
      <c r="D328" s="144" t="s">
        <v>31</v>
      </c>
      <c r="E328" s="144" t="s">
        <v>454</v>
      </c>
      <c r="F328" s="144" t="s">
        <v>851</v>
      </c>
      <c r="G328" s="145" t="n">
        <v>97.2</v>
      </c>
      <c r="H328" s="144" t="n">
        <v>8.33468</v>
      </c>
      <c r="I328" s="144" t="n">
        <v>13.68312</v>
      </c>
      <c r="J328" s="143" t="s">
        <v>30</v>
      </c>
    </row>
    <row r="329" customFormat="false" ht="14.25" hidden="true" customHeight="false" outlineLevel="0" collapsed="false">
      <c r="A329" s="143" t="s">
        <v>175</v>
      </c>
      <c r="B329" s="143" t="n">
        <v>74</v>
      </c>
      <c r="C329" s="144" t="s">
        <v>464</v>
      </c>
      <c r="D329" s="144" t="s">
        <v>31</v>
      </c>
      <c r="E329" s="144" t="s">
        <v>454</v>
      </c>
      <c r="F329" s="144" t="s">
        <v>851</v>
      </c>
      <c r="G329" s="145" t="n">
        <v>97.2</v>
      </c>
      <c r="H329" s="144" t="n">
        <v>8.512224</v>
      </c>
      <c r="I329" s="144" t="n">
        <v>13.638662</v>
      </c>
      <c r="J329" s="143" t="s">
        <v>30</v>
      </c>
    </row>
    <row r="330" customFormat="false" ht="14.25" hidden="true" customHeight="false" outlineLevel="0" collapsed="false">
      <c r="A330" s="143" t="s">
        <v>177</v>
      </c>
      <c r="B330" s="143" t="n">
        <v>99</v>
      </c>
      <c r="C330" s="144" t="s">
        <v>465</v>
      </c>
      <c r="D330" s="144" t="s">
        <v>31</v>
      </c>
      <c r="E330" s="144" t="s">
        <v>454</v>
      </c>
      <c r="F330" s="144" t="s">
        <v>852</v>
      </c>
      <c r="G330" s="145" t="n">
        <v>80</v>
      </c>
      <c r="H330" s="144" t="n">
        <v>7.163733333</v>
      </c>
      <c r="I330" s="144" t="n">
        <v>14.47855</v>
      </c>
      <c r="J330" s="143" t="s">
        <v>30</v>
      </c>
    </row>
    <row r="331" customFormat="false" ht="14.25" hidden="true" customHeight="false" outlineLevel="0" collapsed="false">
      <c r="A331" s="143" t="s">
        <v>177</v>
      </c>
      <c r="B331" s="143" t="n">
        <v>101</v>
      </c>
      <c r="C331" s="144" t="s">
        <v>467</v>
      </c>
      <c r="D331" s="144" t="s">
        <v>31</v>
      </c>
      <c r="E331" s="144" t="s">
        <v>454</v>
      </c>
      <c r="F331" s="144" t="s">
        <v>852</v>
      </c>
      <c r="G331" s="145" t="n">
        <v>80</v>
      </c>
      <c r="H331" s="144" t="n">
        <v>7.857216667</v>
      </c>
      <c r="I331" s="144" t="n">
        <v>15.29238333</v>
      </c>
      <c r="J331" s="143" t="s">
        <v>30</v>
      </c>
    </row>
    <row r="332" customFormat="false" ht="14.25" hidden="true" customHeight="false" outlineLevel="0" collapsed="false">
      <c r="A332" s="143" t="s">
        <v>177</v>
      </c>
      <c r="B332" s="143" t="n">
        <v>105</v>
      </c>
      <c r="C332" s="144" t="s">
        <v>468</v>
      </c>
      <c r="D332" s="144" t="s">
        <v>31</v>
      </c>
      <c r="E332" s="144" t="s">
        <v>454</v>
      </c>
      <c r="F332" s="144" t="s">
        <v>852</v>
      </c>
      <c r="G332" s="145" t="n">
        <v>80</v>
      </c>
      <c r="H332" s="144" t="n">
        <v>8.67221</v>
      </c>
      <c r="I332" s="144" t="n">
        <v>14.18138</v>
      </c>
      <c r="J332" s="143" t="s">
        <v>30</v>
      </c>
    </row>
    <row r="333" customFormat="false" ht="14.25" hidden="true" customHeight="false" outlineLevel="0" collapsed="false">
      <c r="A333" s="143" t="s">
        <v>175</v>
      </c>
      <c r="B333" s="143" t="n">
        <v>77</v>
      </c>
      <c r="C333" s="144" t="s">
        <v>470</v>
      </c>
      <c r="D333" s="144" t="s">
        <v>31</v>
      </c>
      <c r="E333" s="144" t="s">
        <v>454</v>
      </c>
      <c r="F333" s="144" t="s">
        <v>852</v>
      </c>
      <c r="G333" s="145" t="n">
        <v>140.4</v>
      </c>
      <c r="H333" s="144" t="n">
        <v>7.767329</v>
      </c>
      <c r="I333" s="144" t="n">
        <v>14.658459</v>
      </c>
      <c r="J333" s="143" t="s">
        <v>30</v>
      </c>
    </row>
    <row r="334" customFormat="false" ht="14.25" hidden="true" customHeight="false" outlineLevel="0" collapsed="false">
      <c r="A334" s="134" t="s">
        <v>175</v>
      </c>
      <c r="B334" s="134" t="n">
        <v>87</v>
      </c>
      <c r="C334" s="135" t="s">
        <v>181</v>
      </c>
      <c r="D334" s="135" t="s">
        <v>52</v>
      </c>
      <c r="E334" s="135" t="s">
        <v>173</v>
      </c>
      <c r="F334" s="135" t="s">
        <v>892</v>
      </c>
      <c r="G334" s="136" t="n">
        <v>21.6</v>
      </c>
      <c r="H334" s="135" t="n">
        <v>6.16217</v>
      </c>
      <c r="I334" s="135" t="n">
        <v>10.23793</v>
      </c>
      <c r="J334" s="134" t="s">
        <v>22</v>
      </c>
    </row>
    <row r="335" customFormat="false" ht="14.25" hidden="true" customHeight="false" outlineLevel="0" collapsed="false">
      <c r="A335" s="134" t="s">
        <v>177</v>
      </c>
      <c r="B335" s="134" t="n">
        <v>114</v>
      </c>
      <c r="C335" s="135" t="s">
        <v>179</v>
      </c>
      <c r="D335" s="135" t="s">
        <v>52</v>
      </c>
      <c r="E335" s="135" t="s">
        <v>173</v>
      </c>
      <c r="F335" s="135" t="s">
        <v>893</v>
      </c>
      <c r="G335" s="136" t="n">
        <v>80</v>
      </c>
      <c r="H335" s="135" t="n">
        <v>6.532</v>
      </c>
      <c r="I335" s="135" t="n">
        <v>10.47768</v>
      </c>
      <c r="J335" s="134" t="s">
        <v>22</v>
      </c>
    </row>
    <row r="336" customFormat="false" ht="14.25" hidden="true" customHeight="false" outlineLevel="0" collapsed="false">
      <c r="A336" s="134" t="s">
        <v>175</v>
      </c>
      <c r="B336" s="134" t="n">
        <v>86</v>
      </c>
      <c r="C336" s="135" t="s">
        <v>180</v>
      </c>
      <c r="D336" s="135" t="s">
        <v>52</v>
      </c>
      <c r="E336" s="135" t="s">
        <v>173</v>
      </c>
      <c r="F336" s="135" t="s">
        <v>893</v>
      </c>
      <c r="G336" s="136" t="n">
        <v>81</v>
      </c>
      <c r="H336" s="135" t="n">
        <v>6.60781</v>
      </c>
      <c r="I336" s="135" t="n">
        <v>10.4335</v>
      </c>
      <c r="J336" s="134" t="s">
        <v>22</v>
      </c>
    </row>
    <row r="337" customFormat="false" ht="14.25" hidden="true" customHeight="false" outlineLevel="0" collapsed="false">
      <c r="A337" s="134" t="s">
        <v>177</v>
      </c>
      <c r="B337" s="134" t="n">
        <v>122</v>
      </c>
      <c r="C337" s="135" t="s">
        <v>176</v>
      </c>
      <c r="D337" s="135" t="s">
        <v>52</v>
      </c>
      <c r="E337" s="135" t="s">
        <v>173</v>
      </c>
      <c r="F337" s="135" t="s">
        <v>179</v>
      </c>
      <c r="G337" s="136" t="n">
        <v>100</v>
      </c>
      <c r="H337" s="135" t="n">
        <v>6.44483</v>
      </c>
      <c r="I337" s="135" t="n">
        <v>10.33832</v>
      </c>
      <c r="J337" s="134" t="s">
        <v>22</v>
      </c>
    </row>
    <row r="338" customFormat="false" ht="14.25" hidden="true" customHeight="false" outlineLevel="0" collapsed="false">
      <c r="A338" s="134" t="s">
        <v>175</v>
      </c>
      <c r="B338" s="134" t="n">
        <v>84</v>
      </c>
      <c r="C338" s="135" t="s">
        <v>174</v>
      </c>
      <c r="D338" s="135" t="s">
        <v>52</v>
      </c>
      <c r="E338" s="135" t="s">
        <v>173</v>
      </c>
      <c r="F338" s="135" t="s">
        <v>894</v>
      </c>
      <c r="G338" s="136" t="n">
        <v>21.6</v>
      </c>
      <c r="H338" s="135" t="n">
        <v>6.24922</v>
      </c>
      <c r="I338" s="135" t="n">
        <v>10.1699</v>
      </c>
      <c r="J338" s="134" t="s">
        <v>22</v>
      </c>
    </row>
    <row r="339" customFormat="false" ht="14.25" hidden="true" customHeight="false" outlineLevel="0" collapsed="false">
      <c r="A339" s="134" t="s">
        <v>175</v>
      </c>
      <c r="B339" s="134" t="n">
        <v>85</v>
      </c>
      <c r="C339" s="135" t="s">
        <v>178</v>
      </c>
      <c r="D339" s="135" t="s">
        <v>52</v>
      </c>
      <c r="E339" s="135" t="s">
        <v>173</v>
      </c>
      <c r="F339" s="135" t="s">
        <v>894</v>
      </c>
      <c r="G339" s="136" t="n">
        <v>21.6</v>
      </c>
      <c r="H339" s="135" t="n">
        <v>6.31864</v>
      </c>
      <c r="I339" s="135" t="n">
        <v>10.28753</v>
      </c>
      <c r="J339" s="134" t="s">
        <v>22</v>
      </c>
    </row>
    <row r="340" customFormat="false" ht="14.25" hidden="true" customHeight="false" outlineLevel="0" collapsed="false">
      <c r="A340" s="134" t="s">
        <v>175</v>
      </c>
      <c r="B340" s="134" t="n">
        <v>89</v>
      </c>
      <c r="C340" s="135" t="s">
        <v>182</v>
      </c>
      <c r="D340" s="135" t="s">
        <v>52</v>
      </c>
      <c r="E340" s="135" t="s">
        <v>173</v>
      </c>
      <c r="F340" s="135" t="s">
        <v>895</v>
      </c>
      <c r="G340" s="136" t="n">
        <v>54</v>
      </c>
      <c r="H340" s="135" t="n">
        <v>6.21404</v>
      </c>
      <c r="I340" s="135" t="n">
        <v>10.22619</v>
      </c>
      <c r="J340" s="134" t="s">
        <v>22</v>
      </c>
    </row>
    <row r="341" customFormat="false" ht="14.25" hidden="true" customHeight="false" outlineLevel="0" collapsed="false">
      <c r="A341" s="134" t="s">
        <v>175</v>
      </c>
      <c r="B341" s="134" t="n">
        <v>90</v>
      </c>
      <c r="C341" s="135" t="s">
        <v>184</v>
      </c>
      <c r="D341" s="135" t="s">
        <v>52</v>
      </c>
      <c r="E341" s="135" t="s">
        <v>183</v>
      </c>
      <c r="F341" s="135" t="s">
        <v>896</v>
      </c>
      <c r="G341" s="136" t="n">
        <v>81</v>
      </c>
      <c r="H341" s="135" t="n">
        <v>6.29759</v>
      </c>
      <c r="I341" s="135" t="n">
        <v>10.80707</v>
      </c>
      <c r="J341" s="134" t="s">
        <v>22</v>
      </c>
    </row>
    <row r="342" customFormat="false" ht="14.25" hidden="true" customHeight="false" outlineLevel="0" collapsed="false">
      <c r="A342" s="134" t="s">
        <v>175</v>
      </c>
      <c r="B342" s="134" t="n">
        <v>93</v>
      </c>
      <c r="C342" s="135" t="s">
        <v>186</v>
      </c>
      <c r="D342" s="135" t="s">
        <v>52</v>
      </c>
      <c r="E342" s="135" t="s">
        <v>183</v>
      </c>
      <c r="F342" s="135" t="s">
        <v>896</v>
      </c>
      <c r="G342" s="136" t="n">
        <v>81</v>
      </c>
      <c r="H342" s="135" t="n">
        <v>6.32158</v>
      </c>
      <c r="I342" s="135" t="n">
        <v>10.806349</v>
      </c>
      <c r="J342" s="134" t="s">
        <v>22</v>
      </c>
    </row>
    <row r="343" customFormat="false" ht="14.25" hidden="true" customHeight="false" outlineLevel="0" collapsed="false">
      <c r="A343" s="134" t="s">
        <v>175</v>
      </c>
      <c r="B343" s="134" t="n">
        <v>92</v>
      </c>
      <c r="C343" s="135" t="s">
        <v>187</v>
      </c>
      <c r="D343" s="135" t="s">
        <v>52</v>
      </c>
      <c r="E343" s="135" t="s">
        <v>183</v>
      </c>
      <c r="F343" s="135" t="s">
        <v>897</v>
      </c>
      <c r="G343" s="136" t="n">
        <v>32.4</v>
      </c>
      <c r="H343" s="135" t="n">
        <v>6.284091</v>
      </c>
      <c r="I343" s="135" t="n">
        <v>10.691029</v>
      </c>
      <c r="J343" s="134" t="s">
        <v>22</v>
      </c>
    </row>
    <row r="344" customFormat="false" ht="14.25" hidden="true" customHeight="false" outlineLevel="0" collapsed="false">
      <c r="A344" s="134" t="s">
        <v>175</v>
      </c>
      <c r="B344" s="134" t="n">
        <v>95</v>
      </c>
      <c r="C344" s="135" t="s">
        <v>185</v>
      </c>
      <c r="D344" s="135" t="s">
        <v>52</v>
      </c>
      <c r="E344" s="135" t="s">
        <v>183</v>
      </c>
      <c r="F344" s="135" t="s">
        <v>898</v>
      </c>
      <c r="G344" s="136" t="n">
        <v>140.4</v>
      </c>
      <c r="H344" s="135" t="n">
        <v>6.239258</v>
      </c>
      <c r="I344" s="135" t="n">
        <v>10.49795</v>
      </c>
      <c r="J344" s="134" t="s">
        <v>22</v>
      </c>
    </row>
    <row r="345" customFormat="false" ht="14.25" hidden="true" customHeight="false" outlineLevel="0" collapsed="false">
      <c r="A345" s="134" t="s">
        <v>190</v>
      </c>
      <c r="B345" s="134" t="n">
        <v>182</v>
      </c>
      <c r="C345" s="135" t="s">
        <v>189</v>
      </c>
      <c r="D345" s="135" t="s">
        <v>52</v>
      </c>
      <c r="E345" s="135" t="s">
        <v>188</v>
      </c>
      <c r="F345" s="135" t="s">
        <v>887</v>
      </c>
      <c r="G345" s="136" t="n">
        <v>32.4</v>
      </c>
      <c r="H345" s="135" t="n">
        <v>6.68708</v>
      </c>
      <c r="I345" s="135" t="n">
        <v>10.63462</v>
      </c>
      <c r="J345" s="134" t="s">
        <v>22</v>
      </c>
    </row>
    <row r="346" customFormat="false" ht="14.25" hidden="true" customHeight="false" outlineLevel="0" collapsed="false">
      <c r="A346" s="134" t="s">
        <v>177</v>
      </c>
      <c r="B346" s="134" t="n">
        <v>112</v>
      </c>
      <c r="C346" s="135" t="s">
        <v>192</v>
      </c>
      <c r="D346" s="135" t="s">
        <v>52</v>
      </c>
      <c r="E346" s="135" t="s">
        <v>188</v>
      </c>
      <c r="F346" s="135" t="s">
        <v>888</v>
      </c>
      <c r="G346" s="136" t="n">
        <v>50</v>
      </c>
      <c r="H346" s="135" t="n">
        <v>6.5322</v>
      </c>
      <c r="I346" s="135" t="n">
        <v>10.55327</v>
      </c>
      <c r="J346" s="134" t="s">
        <v>22</v>
      </c>
    </row>
    <row r="347" customFormat="false" ht="14.25" hidden="true" customHeight="false" outlineLevel="0" collapsed="false">
      <c r="A347" s="134" t="s">
        <v>177</v>
      </c>
      <c r="B347" s="134" t="n">
        <v>108</v>
      </c>
      <c r="C347" s="135" t="s">
        <v>191</v>
      </c>
      <c r="D347" s="135" t="s">
        <v>52</v>
      </c>
      <c r="E347" s="135" t="s">
        <v>188</v>
      </c>
      <c r="F347" s="135" t="s">
        <v>889</v>
      </c>
      <c r="G347" s="136" t="n">
        <v>15</v>
      </c>
      <c r="H347" s="135" t="n">
        <v>6.650266667</v>
      </c>
      <c r="I347" s="135" t="n">
        <v>10.62726667</v>
      </c>
      <c r="J347" s="134" t="s">
        <v>22</v>
      </c>
    </row>
    <row r="348" customFormat="false" ht="14.25" hidden="true" customHeight="false" outlineLevel="0" collapsed="false">
      <c r="A348" s="134" t="s">
        <v>177</v>
      </c>
      <c r="B348" s="134" t="n">
        <v>110</v>
      </c>
      <c r="C348" s="135" t="s">
        <v>194</v>
      </c>
      <c r="D348" s="135" t="s">
        <v>52</v>
      </c>
      <c r="E348" s="135" t="s">
        <v>188</v>
      </c>
      <c r="F348" s="135" t="s">
        <v>890</v>
      </c>
      <c r="G348" s="136" t="n">
        <v>15</v>
      </c>
      <c r="H348" s="135" t="n">
        <v>6.31049</v>
      </c>
      <c r="I348" s="135" t="n">
        <v>10.400096</v>
      </c>
      <c r="J348" s="134" t="s">
        <v>22</v>
      </c>
    </row>
    <row r="349" customFormat="false" ht="14.25" hidden="true" customHeight="false" outlineLevel="0" collapsed="false">
      <c r="A349" s="134" t="s">
        <v>175</v>
      </c>
      <c r="B349" s="134" t="n">
        <v>98</v>
      </c>
      <c r="C349" s="135" t="s">
        <v>195</v>
      </c>
      <c r="D349" s="135" t="s">
        <v>52</v>
      </c>
      <c r="E349" s="135" t="s">
        <v>188</v>
      </c>
      <c r="F349" s="135" t="s">
        <v>890</v>
      </c>
      <c r="G349" s="136" t="n">
        <v>140.4</v>
      </c>
      <c r="H349" s="135" t="n">
        <v>6.507096</v>
      </c>
      <c r="I349" s="135" t="n">
        <v>10.718334</v>
      </c>
      <c r="J349" s="134" t="s">
        <v>22</v>
      </c>
    </row>
    <row r="350" customFormat="false" ht="14.25" hidden="true" customHeight="false" outlineLevel="0" collapsed="false">
      <c r="A350" s="134" t="s">
        <v>177</v>
      </c>
      <c r="B350" s="134" t="n">
        <v>115</v>
      </c>
      <c r="C350" s="135" t="s">
        <v>196</v>
      </c>
      <c r="D350" s="135" t="s">
        <v>52</v>
      </c>
      <c r="E350" s="135" t="s">
        <v>188</v>
      </c>
      <c r="F350" s="135" t="s">
        <v>890</v>
      </c>
      <c r="G350" s="136" t="n">
        <v>80</v>
      </c>
      <c r="H350" s="135" t="n">
        <v>6.52647</v>
      </c>
      <c r="I350" s="135" t="n">
        <v>10.69835</v>
      </c>
      <c r="J350" s="134" t="s">
        <v>22</v>
      </c>
    </row>
    <row r="351" customFormat="false" ht="14.25" hidden="true" customHeight="false" outlineLevel="0" collapsed="false">
      <c r="A351" s="134" t="s">
        <v>175</v>
      </c>
      <c r="B351" s="134" t="n">
        <v>91</v>
      </c>
      <c r="C351" s="135" t="s">
        <v>197</v>
      </c>
      <c r="D351" s="135" t="s">
        <v>52</v>
      </c>
      <c r="E351" s="135" t="s">
        <v>188</v>
      </c>
      <c r="F351" s="135" t="s">
        <v>890</v>
      </c>
      <c r="G351" s="136" t="n">
        <v>21.6</v>
      </c>
      <c r="H351" s="135" t="n">
        <v>6.64024</v>
      </c>
      <c r="I351" s="135" t="n">
        <v>10.7015</v>
      </c>
      <c r="J351" s="134" t="s">
        <v>22</v>
      </c>
    </row>
    <row r="352" customFormat="false" ht="14.25" hidden="true" customHeight="false" outlineLevel="0" collapsed="false">
      <c r="A352" s="134" t="s">
        <v>175</v>
      </c>
      <c r="B352" s="134" t="n">
        <v>100</v>
      </c>
      <c r="C352" s="135" t="s">
        <v>193</v>
      </c>
      <c r="D352" s="135" t="s">
        <v>52</v>
      </c>
      <c r="E352" s="135" t="s">
        <v>188</v>
      </c>
      <c r="F352" s="135" t="s">
        <v>891</v>
      </c>
      <c r="G352" s="136" t="n">
        <v>54</v>
      </c>
      <c r="H352" s="135" t="n">
        <v>6.323883</v>
      </c>
      <c r="I352" s="135" t="n">
        <v>11.00055</v>
      </c>
      <c r="J352" s="134" t="s">
        <v>22</v>
      </c>
    </row>
    <row r="353" customFormat="false" ht="14.25" hidden="true" customHeight="false" outlineLevel="0" collapsed="false">
      <c r="A353" s="134" t="s">
        <v>175</v>
      </c>
      <c r="B353" s="134" t="n">
        <v>99</v>
      </c>
      <c r="C353" s="135" t="s">
        <v>200</v>
      </c>
      <c r="D353" s="135" t="s">
        <v>52</v>
      </c>
      <c r="E353" s="135" t="s">
        <v>198</v>
      </c>
      <c r="F353" s="135" t="s">
        <v>899</v>
      </c>
      <c r="G353" s="136" t="n">
        <v>81</v>
      </c>
      <c r="H353" s="135" t="n">
        <v>6.574993</v>
      </c>
      <c r="I353" s="135" t="n">
        <v>10.090799</v>
      </c>
      <c r="J353" s="134" t="s">
        <v>22</v>
      </c>
    </row>
    <row r="354" customFormat="false" ht="14.25" hidden="true" customHeight="false" outlineLevel="0" collapsed="false">
      <c r="A354" s="134" t="s">
        <v>175</v>
      </c>
      <c r="B354" s="134" t="n">
        <v>102</v>
      </c>
      <c r="C354" s="135" t="s">
        <v>199</v>
      </c>
      <c r="D354" s="135" t="s">
        <v>52</v>
      </c>
      <c r="E354" s="135" t="s">
        <v>198</v>
      </c>
      <c r="F354" s="135" t="s">
        <v>900</v>
      </c>
      <c r="G354" s="136" t="n">
        <v>81</v>
      </c>
      <c r="H354" s="135" t="n">
        <v>6.297739</v>
      </c>
      <c r="I354" s="135" t="n">
        <v>10.094824</v>
      </c>
      <c r="J354" s="134" t="s">
        <v>22</v>
      </c>
    </row>
    <row r="355" customFormat="false" ht="14.25" hidden="true" customHeight="false" outlineLevel="0" collapsed="false">
      <c r="A355" s="134" t="s">
        <v>175</v>
      </c>
      <c r="B355" s="134" t="n">
        <v>96</v>
      </c>
      <c r="C355" s="135" t="s">
        <v>201</v>
      </c>
      <c r="D355" s="135" t="s">
        <v>52</v>
      </c>
      <c r="E355" s="135" t="s">
        <v>198</v>
      </c>
      <c r="F355" s="135" t="s">
        <v>900</v>
      </c>
      <c r="G355" s="136" t="n">
        <v>54</v>
      </c>
      <c r="H355" s="135" t="n">
        <v>6.469894</v>
      </c>
      <c r="I355" s="135" t="n">
        <v>10.044144</v>
      </c>
      <c r="J355" s="134" t="s">
        <v>22</v>
      </c>
    </row>
    <row r="356" customFormat="false" ht="14.25" hidden="true" customHeight="false" outlineLevel="0" collapsed="false">
      <c r="A356" s="134" t="s">
        <v>175</v>
      </c>
      <c r="B356" s="134" t="n">
        <v>97</v>
      </c>
      <c r="C356" s="135" t="s">
        <v>204</v>
      </c>
      <c r="D356" s="135" t="s">
        <v>52</v>
      </c>
      <c r="E356" s="135" t="s">
        <v>202</v>
      </c>
      <c r="F356" s="135" t="s">
        <v>902</v>
      </c>
      <c r="G356" s="136" t="n">
        <v>81</v>
      </c>
      <c r="H356" s="135" t="n">
        <v>6.140108</v>
      </c>
      <c r="I356" s="135" t="n">
        <v>10.032077</v>
      </c>
      <c r="J356" s="134" t="s">
        <v>22</v>
      </c>
    </row>
    <row r="357" customFormat="false" ht="14.25" hidden="true" customHeight="false" outlineLevel="0" collapsed="false">
      <c r="A357" s="134" t="s">
        <v>175</v>
      </c>
      <c r="B357" s="134" t="n">
        <v>103</v>
      </c>
      <c r="C357" s="135" t="s">
        <v>203</v>
      </c>
      <c r="D357" s="135" t="s">
        <v>52</v>
      </c>
      <c r="E357" s="135" t="s">
        <v>202</v>
      </c>
      <c r="F357" s="135" t="s">
        <v>903</v>
      </c>
      <c r="G357" s="136" t="n">
        <v>32.4</v>
      </c>
      <c r="H357" s="135" t="n">
        <v>5.839347</v>
      </c>
      <c r="I357" s="135" t="n">
        <v>10.007327</v>
      </c>
      <c r="J357" s="134" t="s">
        <v>22</v>
      </c>
    </row>
    <row r="358" customFormat="false" ht="14.25" hidden="true" customHeight="false" outlineLevel="0" collapsed="false">
      <c r="A358" s="134" t="s">
        <v>177</v>
      </c>
      <c r="B358" s="134" t="n">
        <v>113</v>
      </c>
      <c r="C358" s="135" t="s">
        <v>210</v>
      </c>
      <c r="D358" s="135" t="s">
        <v>52</v>
      </c>
      <c r="E358" s="135" t="s">
        <v>205</v>
      </c>
      <c r="F358" s="135" t="s">
        <v>206</v>
      </c>
      <c r="G358" s="136" t="n">
        <v>80</v>
      </c>
      <c r="H358" s="135" t="n">
        <v>5.994766667</v>
      </c>
      <c r="I358" s="135" t="n">
        <v>9.849966667</v>
      </c>
      <c r="J358" s="134" t="s">
        <v>22</v>
      </c>
    </row>
    <row r="359" customFormat="false" ht="14.25" hidden="true" customHeight="false" outlineLevel="0" collapsed="false">
      <c r="A359" s="134" t="s">
        <v>177</v>
      </c>
      <c r="B359" s="134" t="n">
        <v>121</v>
      </c>
      <c r="C359" s="135" t="s">
        <v>218</v>
      </c>
      <c r="D359" s="135" t="s">
        <v>52</v>
      </c>
      <c r="E359" s="135" t="s">
        <v>205</v>
      </c>
      <c r="F359" s="135" t="s">
        <v>206</v>
      </c>
      <c r="G359" s="136" t="n">
        <v>80</v>
      </c>
      <c r="H359" s="135" t="n">
        <v>5.987766667</v>
      </c>
      <c r="I359" s="135" t="n">
        <v>9.890133333</v>
      </c>
      <c r="J359" s="134" t="s">
        <v>22</v>
      </c>
    </row>
    <row r="360" customFormat="false" ht="14.25" hidden="true" customHeight="false" outlineLevel="0" collapsed="false">
      <c r="A360" s="134" t="s">
        <v>177</v>
      </c>
      <c r="B360" s="134" t="n">
        <v>120</v>
      </c>
      <c r="C360" s="135" t="s">
        <v>208</v>
      </c>
      <c r="D360" s="135" t="s">
        <v>52</v>
      </c>
      <c r="E360" s="135" t="s">
        <v>205</v>
      </c>
      <c r="F360" s="135" t="s">
        <v>883</v>
      </c>
      <c r="G360" s="136" t="n">
        <v>80</v>
      </c>
      <c r="H360" s="135" t="n">
        <v>5.801337</v>
      </c>
      <c r="I360" s="135" t="n">
        <v>9.922768</v>
      </c>
      <c r="J360" s="134" t="s">
        <v>22</v>
      </c>
    </row>
    <row r="361" customFormat="false" ht="14.25" hidden="true" customHeight="false" outlineLevel="0" collapsed="false">
      <c r="A361" s="134" t="s">
        <v>177</v>
      </c>
      <c r="B361" s="134" t="n">
        <v>118</v>
      </c>
      <c r="C361" s="135" t="s">
        <v>212</v>
      </c>
      <c r="D361" s="135" t="s">
        <v>52</v>
      </c>
      <c r="E361" s="135" t="s">
        <v>205</v>
      </c>
      <c r="F361" s="135" t="s">
        <v>883</v>
      </c>
      <c r="G361" s="136" t="n">
        <v>80</v>
      </c>
      <c r="H361" s="135" t="n">
        <v>5.767833333</v>
      </c>
      <c r="I361" s="135" t="n">
        <v>9.822533333</v>
      </c>
      <c r="J361" s="134" t="s">
        <v>22</v>
      </c>
    </row>
    <row r="362" customFormat="false" ht="14.25" hidden="true" customHeight="false" outlineLevel="0" collapsed="false">
      <c r="A362" s="134" t="s">
        <v>190</v>
      </c>
      <c r="B362" s="134" t="n">
        <v>183</v>
      </c>
      <c r="C362" s="135" t="s">
        <v>209</v>
      </c>
      <c r="D362" s="135" t="s">
        <v>52</v>
      </c>
      <c r="E362" s="135" t="s">
        <v>205</v>
      </c>
      <c r="F362" s="135" t="s">
        <v>884</v>
      </c>
      <c r="G362" s="136" t="n">
        <v>32.4</v>
      </c>
      <c r="H362" s="135" t="n">
        <v>6.05125</v>
      </c>
      <c r="I362" s="135" t="n">
        <v>10.01998</v>
      </c>
      <c r="J362" s="134" t="s">
        <v>22</v>
      </c>
    </row>
    <row r="363" customFormat="false" ht="14.25" hidden="true" customHeight="false" outlineLevel="0" collapsed="false">
      <c r="A363" s="134" t="s">
        <v>190</v>
      </c>
      <c r="B363" s="134" t="n">
        <v>184</v>
      </c>
      <c r="C363" s="135" t="s">
        <v>211</v>
      </c>
      <c r="D363" s="135" t="s">
        <v>52</v>
      </c>
      <c r="E363" s="135" t="s">
        <v>205</v>
      </c>
      <c r="F363" s="135" t="s">
        <v>884</v>
      </c>
      <c r="G363" s="136" t="n">
        <v>32.4</v>
      </c>
      <c r="H363" s="135" t="n">
        <v>6.13647</v>
      </c>
      <c r="I363" s="135" t="n">
        <v>9.92152</v>
      </c>
      <c r="J363" s="134" t="s">
        <v>22</v>
      </c>
    </row>
    <row r="364" customFormat="false" ht="14.25" hidden="true" customHeight="false" outlineLevel="0" collapsed="false">
      <c r="A364" s="134" t="s">
        <v>175</v>
      </c>
      <c r="B364" s="134" t="n">
        <v>88</v>
      </c>
      <c r="C364" s="135" t="s">
        <v>213</v>
      </c>
      <c r="D364" s="135" t="s">
        <v>52</v>
      </c>
      <c r="E364" s="135" t="s">
        <v>205</v>
      </c>
      <c r="F364" s="135" t="s">
        <v>884</v>
      </c>
      <c r="G364" s="136" t="n">
        <v>21.6</v>
      </c>
      <c r="H364" s="135" t="n">
        <v>6.0929</v>
      </c>
      <c r="I364" s="135" t="n">
        <v>10.01372</v>
      </c>
      <c r="J364" s="134" t="s">
        <v>22</v>
      </c>
    </row>
    <row r="365" customFormat="false" ht="14.25" hidden="true" customHeight="false" outlineLevel="0" collapsed="false">
      <c r="A365" s="134" t="s">
        <v>177</v>
      </c>
      <c r="B365" s="134" t="n">
        <v>116</v>
      </c>
      <c r="C365" s="135" t="s">
        <v>206</v>
      </c>
      <c r="D365" s="135" t="s">
        <v>52</v>
      </c>
      <c r="E365" s="135" t="s">
        <v>205</v>
      </c>
      <c r="F365" s="135" t="s">
        <v>885</v>
      </c>
      <c r="G365" s="136" t="n">
        <v>80</v>
      </c>
      <c r="H365" s="135" t="n">
        <v>5.9773</v>
      </c>
      <c r="I365" s="135" t="n">
        <v>9.83525</v>
      </c>
      <c r="J365" s="134" t="s">
        <v>22</v>
      </c>
    </row>
    <row r="366" customFormat="false" ht="14.25" hidden="true" customHeight="false" outlineLevel="0" collapsed="false">
      <c r="A366" s="134" t="s">
        <v>177</v>
      </c>
      <c r="B366" s="134" t="n">
        <v>124</v>
      </c>
      <c r="C366" s="135" t="s">
        <v>217</v>
      </c>
      <c r="D366" s="135" t="s">
        <v>52</v>
      </c>
      <c r="E366" s="135" t="s">
        <v>205</v>
      </c>
      <c r="F366" s="135" t="s">
        <v>885</v>
      </c>
      <c r="G366" s="136" t="n">
        <v>100</v>
      </c>
      <c r="H366" s="135" t="n">
        <v>5.947033333</v>
      </c>
      <c r="I366" s="135" t="n">
        <v>9.82205</v>
      </c>
      <c r="J366" s="134" t="s">
        <v>22</v>
      </c>
    </row>
    <row r="367" customFormat="false" ht="14.25" hidden="true" customHeight="false" outlineLevel="0" collapsed="false">
      <c r="A367" s="134" t="s">
        <v>177</v>
      </c>
      <c r="B367" s="134" t="n">
        <v>123</v>
      </c>
      <c r="C367" s="135" t="s">
        <v>216</v>
      </c>
      <c r="D367" s="135" t="s">
        <v>52</v>
      </c>
      <c r="E367" s="135" t="s">
        <v>205</v>
      </c>
      <c r="F367" s="135" t="s">
        <v>886</v>
      </c>
      <c r="G367" s="136" t="n">
        <v>100</v>
      </c>
      <c r="H367" s="135" t="n">
        <v>6.09775</v>
      </c>
      <c r="I367" s="135" t="n">
        <v>9.86429</v>
      </c>
      <c r="J367" s="134" t="s">
        <v>22</v>
      </c>
    </row>
    <row r="368" customFormat="false" ht="14.25" hidden="true" customHeight="false" outlineLevel="0" collapsed="false">
      <c r="A368" s="134" t="s">
        <v>175</v>
      </c>
      <c r="B368" s="134" t="n">
        <v>94</v>
      </c>
      <c r="C368" s="135" t="s">
        <v>207</v>
      </c>
      <c r="D368" s="135" t="s">
        <v>52</v>
      </c>
      <c r="E368" s="135" t="s">
        <v>205</v>
      </c>
      <c r="F368" s="135" t="s">
        <v>215</v>
      </c>
      <c r="G368" s="136" t="n">
        <v>81</v>
      </c>
      <c r="H368" s="135" t="n">
        <v>6.124134</v>
      </c>
      <c r="I368" s="135" t="n">
        <v>9.859431</v>
      </c>
      <c r="J368" s="134" t="s">
        <v>22</v>
      </c>
    </row>
    <row r="369" customFormat="false" ht="14.25" hidden="true" customHeight="false" outlineLevel="0" collapsed="false">
      <c r="A369" s="134" t="s">
        <v>175</v>
      </c>
      <c r="B369" s="134" t="n">
        <v>101</v>
      </c>
      <c r="C369" s="135" t="s">
        <v>214</v>
      </c>
      <c r="D369" s="135" t="s">
        <v>52</v>
      </c>
      <c r="E369" s="135" t="s">
        <v>205</v>
      </c>
      <c r="F369" s="135" t="s">
        <v>215</v>
      </c>
      <c r="G369" s="136" t="n">
        <v>54</v>
      </c>
      <c r="H369" s="135" t="n">
        <v>6.090007</v>
      </c>
      <c r="I369" s="135" t="n">
        <v>9.80002</v>
      </c>
      <c r="J369" s="134" t="s">
        <v>22</v>
      </c>
    </row>
    <row r="370" customFormat="false" ht="14.25" hidden="true" customHeight="false" outlineLevel="0" collapsed="false">
      <c r="A370" s="134" t="s">
        <v>177</v>
      </c>
      <c r="B370" s="134" t="n">
        <v>117</v>
      </c>
      <c r="C370" s="135" t="s">
        <v>215</v>
      </c>
      <c r="D370" s="135" t="s">
        <v>52</v>
      </c>
      <c r="E370" s="135" t="s">
        <v>205</v>
      </c>
      <c r="F370" s="135" t="s">
        <v>215</v>
      </c>
      <c r="G370" s="136" t="n">
        <v>80</v>
      </c>
      <c r="H370" s="135" t="n">
        <v>6.122583333</v>
      </c>
      <c r="I370" s="135" t="n">
        <v>9.83455</v>
      </c>
      <c r="J370" s="134" t="s">
        <v>22</v>
      </c>
    </row>
    <row r="371" customFormat="false" ht="14.25" hidden="true" customHeight="false" outlineLevel="0" collapsed="false">
      <c r="A371" s="134" t="s">
        <v>177</v>
      </c>
      <c r="B371" s="134" t="n">
        <v>111</v>
      </c>
      <c r="C371" s="135" t="s">
        <v>221</v>
      </c>
      <c r="D371" s="135" t="s">
        <v>52</v>
      </c>
      <c r="E371" s="135" t="s">
        <v>219</v>
      </c>
      <c r="F371" s="135" t="s">
        <v>221</v>
      </c>
      <c r="G371" s="136" t="n">
        <v>30</v>
      </c>
      <c r="H371" s="135" t="n">
        <v>6.01988</v>
      </c>
      <c r="I371" s="135" t="n">
        <v>10.53877</v>
      </c>
      <c r="J371" s="134" t="s">
        <v>22</v>
      </c>
    </row>
    <row r="372" customFormat="false" ht="14.25" hidden="true" customHeight="false" outlineLevel="0" collapsed="false">
      <c r="A372" s="134" t="s">
        <v>177</v>
      </c>
      <c r="B372" s="134" t="n">
        <v>119</v>
      </c>
      <c r="C372" s="135" t="s">
        <v>220</v>
      </c>
      <c r="D372" s="135" t="s">
        <v>52</v>
      </c>
      <c r="E372" s="135" t="s">
        <v>219</v>
      </c>
      <c r="F372" s="135" t="s">
        <v>901</v>
      </c>
      <c r="G372" s="136" t="n">
        <v>80</v>
      </c>
      <c r="H372" s="135" t="n">
        <v>6.06131</v>
      </c>
      <c r="I372" s="135" t="n">
        <v>10.49119</v>
      </c>
      <c r="J372" s="134" t="s">
        <v>22</v>
      </c>
    </row>
    <row r="373" customFormat="false" ht="14.25" hidden="true" customHeight="false" outlineLevel="0" collapsed="false">
      <c r="A373" s="134" t="s">
        <v>177</v>
      </c>
      <c r="B373" s="134" t="n">
        <v>109</v>
      </c>
      <c r="C373" s="135" t="s">
        <v>222</v>
      </c>
      <c r="D373" s="135" t="s">
        <v>52</v>
      </c>
      <c r="E373" s="135" t="s">
        <v>219</v>
      </c>
      <c r="F373" s="135" t="s">
        <v>901</v>
      </c>
      <c r="G373" s="136" t="n">
        <v>15</v>
      </c>
      <c r="H373" s="135" t="n">
        <v>5.9518</v>
      </c>
      <c r="I373" s="135" t="n">
        <v>10.38707</v>
      </c>
      <c r="J373" s="134" t="s">
        <v>22</v>
      </c>
    </row>
    <row r="374" customFormat="false" ht="14.25" hidden="true" customHeight="false" outlineLevel="0" collapsed="false">
      <c r="A374" s="134" t="s">
        <v>190</v>
      </c>
      <c r="B374" s="134" t="n">
        <v>165</v>
      </c>
      <c r="C374" s="135" t="s">
        <v>226</v>
      </c>
      <c r="D374" s="135" t="s">
        <v>223</v>
      </c>
      <c r="E374" s="135" t="s">
        <v>224</v>
      </c>
      <c r="F374" s="135" t="s">
        <v>915</v>
      </c>
      <c r="G374" s="136" t="n">
        <v>32.4</v>
      </c>
      <c r="H374" s="135" t="n">
        <v>5.681217</v>
      </c>
      <c r="I374" s="135" t="n">
        <v>10.1493</v>
      </c>
      <c r="J374" s="134" t="s">
        <v>22</v>
      </c>
    </row>
    <row r="375" customFormat="false" ht="14.25" hidden="true" customHeight="false" outlineLevel="0" collapsed="false">
      <c r="A375" s="134" t="s">
        <v>190</v>
      </c>
      <c r="B375" s="134" t="n">
        <v>164</v>
      </c>
      <c r="C375" s="135" t="s">
        <v>225</v>
      </c>
      <c r="D375" s="135" t="s">
        <v>223</v>
      </c>
      <c r="E375" s="135" t="s">
        <v>224</v>
      </c>
      <c r="F375" s="135" t="s">
        <v>916</v>
      </c>
      <c r="G375" s="136" t="n">
        <v>54</v>
      </c>
      <c r="H375" s="135" t="n">
        <v>5.59058</v>
      </c>
      <c r="I375" s="135" t="n">
        <v>10.14391</v>
      </c>
      <c r="J375" s="134" t="s">
        <v>22</v>
      </c>
    </row>
    <row r="376" customFormat="false" ht="14.25" hidden="true" customHeight="false" outlineLevel="0" collapsed="false">
      <c r="A376" s="134" t="s">
        <v>190</v>
      </c>
      <c r="B376" s="134" t="n">
        <v>166</v>
      </c>
      <c r="C376" s="135" t="s">
        <v>227</v>
      </c>
      <c r="D376" s="135" t="s">
        <v>223</v>
      </c>
      <c r="E376" s="135" t="s">
        <v>224</v>
      </c>
      <c r="F376" s="135" t="s">
        <v>916</v>
      </c>
      <c r="G376" s="136" t="n">
        <v>54</v>
      </c>
      <c r="H376" s="135" t="n">
        <v>5.626082</v>
      </c>
      <c r="I376" s="135" t="n">
        <v>10.15245</v>
      </c>
      <c r="J376" s="134" t="s">
        <v>22</v>
      </c>
    </row>
    <row r="377" customFormat="false" ht="14.25" hidden="true" customHeight="false" outlineLevel="0" collapsed="false">
      <c r="A377" s="134" t="s">
        <v>177</v>
      </c>
      <c r="B377" s="134" t="n">
        <v>159</v>
      </c>
      <c r="C377" s="135" t="s">
        <v>228</v>
      </c>
      <c r="D377" s="135" t="s">
        <v>223</v>
      </c>
      <c r="E377" s="135" t="s">
        <v>224</v>
      </c>
      <c r="F377" s="135" t="s">
        <v>917</v>
      </c>
      <c r="G377" s="136" t="n">
        <v>50</v>
      </c>
      <c r="H377" s="135" t="n">
        <v>5.77785</v>
      </c>
      <c r="I377" s="135" t="n">
        <v>10.43442</v>
      </c>
      <c r="J377" s="134" t="s">
        <v>22</v>
      </c>
    </row>
    <row r="378" customFormat="false" ht="14.25" hidden="true" customHeight="false" outlineLevel="0" collapsed="false">
      <c r="A378" s="134" t="s">
        <v>177</v>
      </c>
      <c r="B378" s="134" t="n">
        <v>163</v>
      </c>
      <c r="C378" s="135" t="s">
        <v>230</v>
      </c>
      <c r="D378" s="135" t="s">
        <v>223</v>
      </c>
      <c r="E378" s="135" t="s">
        <v>229</v>
      </c>
      <c r="F378" s="135" t="s">
        <v>918</v>
      </c>
      <c r="G378" s="136" t="n">
        <v>80</v>
      </c>
      <c r="H378" s="135" t="n">
        <v>5.03571</v>
      </c>
      <c r="I378" s="135" t="n">
        <v>10.20688</v>
      </c>
      <c r="J378" s="134" t="s">
        <v>22</v>
      </c>
    </row>
    <row r="379" customFormat="false" ht="14.25" hidden="true" customHeight="false" outlineLevel="0" collapsed="false">
      <c r="A379" s="134" t="s">
        <v>190</v>
      </c>
      <c r="B379" s="134" t="n">
        <v>169</v>
      </c>
      <c r="C379" s="135" t="s">
        <v>231</v>
      </c>
      <c r="D379" s="135" t="s">
        <v>223</v>
      </c>
      <c r="E379" s="135" t="s">
        <v>229</v>
      </c>
      <c r="F379" s="135" t="s">
        <v>919</v>
      </c>
      <c r="G379" s="136" t="n">
        <v>81</v>
      </c>
      <c r="H379" s="135" t="n">
        <v>5.28187</v>
      </c>
      <c r="I379" s="135" t="n">
        <v>10.16235</v>
      </c>
      <c r="J379" s="134" t="s">
        <v>22</v>
      </c>
    </row>
    <row r="380" customFormat="false" ht="14.25" hidden="true" customHeight="false" outlineLevel="0" collapsed="false">
      <c r="A380" s="134" t="s">
        <v>190</v>
      </c>
      <c r="B380" s="134" t="n">
        <v>163</v>
      </c>
      <c r="C380" s="135" t="s">
        <v>233</v>
      </c>
      <c r="D380" s="135" t="s">
        <v>223</v>
      </c>
      <c r="E380" s="135" t="s">
        <v>232</v>
      </c>
      <c r="F380" s="135" t="s">
        <v>920</v>
      </c>
      <c r="G380" s="136" t="n">
        <v>21.6</v>
      </c>
      <c r="H380" s="135" t="n">
        <v>5.09778</v>
      </c>
      <c r="I380" s="135" t="n">
        <v>10.19795</v>
      </c>
      <c r="J380" s="134" t="s">
        <v>22</v>
      </c>
    </row>
    <row r="381" customFormat="false" ht="14.25" hidden="true" customHeight="false" outlineLevel="0" collapsed="false">
      <c r="A381" s="134" t="s">
        <v>190</v>
      </c>
      <c r="B381" s="134" t="n">
        <v>167</v>
      </c>
      <c r="C381" s="135" t="s">
        <v>236</v>
      </c>
      <c r="D381" s="135" t="s">
        <v>223</v>
      </c>
      <c r="E381" s="135" t="s">
        <v>234</v>
      </c>
      <c r="F381" s="135" t="s">
        <v>909</v>
      </c>
      <c r="G381" s="136" t="n">
        <v>21.6</v>
      </c>
      <c r="H381" s="135" t="n">
        <v>5.5181</v>
      </c>
      <c r="I381" s="135" t="n">
        <v>10.162617</v>
      </c>
      <c r="J381" s="134" t="s">
        <v>22</v>
      </c>
    </row>
    <row r="382" customFormat="false" ht="14.25" hidden="true" customHeight="false" outlineLevel="0" collapsed="false">
      <c r="A382" s="134" t="s">
        <v>177</v>
      </c>
      <c r="B382" s="134" t="n">
        <v>158</v>
      </c>
      <c r="C382" s="135" t="s">
        <v>239</v>
      </c>
      <c r="D382" s="135" t="s">
        <v>223</v>
      </c>
      <c r="E382" s="135" t="s">
        <v>234</v>
      </c>
      <c r="F382" s="135" t="s">
        <v>910</v>
      </c>
      <c r="G382" s="136" t="n">
        <v>50</v>
      </c>
      <c r="H382" s="135" t="n">
        <v>5.33282</v>
      </c>
      <c r="I382" s="135" t="n">
        <v>10.05631</v>
      </c>
      <c r="J382" s="134" t="s">
        <v>22</v>
      </c>
    </row>
    <row r="383" customFormat="false" ht="14.25" hidden="true" customHeight="false" outlineLevel="0" collapsed="false">
      <c r="A383" s="134" t="s">
        <v>175</v>
      </c>
      <c r="B383" s="134" t="n">
        <v>142</v>
      </c>
      <c r="C383" s="135" t="s">
        <v>235</v>
      </c>
      <c r="D383" s="135" t="s">
        <v>223</v>
      </c>
      <c r="E383" s="135" t="s">
        <v>234</v>
      </c>
      <c r="F383" s="135" t="s">
        <v>911</v>
      </c>
      <c r="G383" s="136" t="n">
        <v>54</v>
      </c>
      <c r="H383" s="135" t="n">
        <v>5.400686</v>
      </c>
      <c r="I383" s="135" t="n">
        <v>10.093965</v>
      </c>
      <c r="J383" s="134" t="s">
        <v>22</v>
      </c>
    </row>
    <row r="384" customFormat="false" ht="14.25" hidden="true" customHeight="false" outlineLevel="0" collapsed="false">
      <c r="A384" s="134" t="s">
        <v>190</v>
      </c>
      <c r="B384" s="134" t="n">
        <v>181</v>
      </c>
      <c r="C384" s="135" t="s">
        <v>240</v>
      </c>
      <c r="D384" s="135" t="s">
        <v>223</v>
      </c>
      <c r="E384" s="135" t="s">
        <v>234</v>
      </c>
      <c r="F384" s="135" t="s">
        <v>912</v>
      </c>
      <c r="G384" s="136" t="n">
        <v>54</v>
      </c>
      <c r="H384" s="135" t="n">
        <v>5.4687</v>
      </c>
      <c r="I384" s="135" t="n">
        <v>10.2054</v>
      </c>
      <c r="J384" s="134" t="s">
        <v>22</v>
      </c>
    </row>
    <row r="385" customFormat="false" ht="14.25" hidden="true" customHeight="false" outlineLevel="0" collapsed="false">
      <c r="A385" s="134" t="s">
        <v>190</v>
      </c>
      <c r="B385" s="134" t="n">
        <v>170</v>
      </c>
      <c r="C385" s="135" t="s">
        <v>237</v>
      </c>
      <c r="D385" s="135" t="s">
        <v>223</v>
      </c>
      <c r="E385" s="135" t="s">
        <v>234</v>
      </c>
      <c r="F385" s="135" t="s">
        <v>913</v>
      </c>
      <c r="G385" s="136" t="n">
        <v>54</v>
      </c>
      <c r="H385" s="135" t="n">
        <v>5.64345</v>
      </c>
      <c r="I385" s="135" t="n">
        <v>10.093</v>
      </c>
      <c r="J385" s="134" t="s">
        <v>22</v>
      </c>
    </row>
    <row r="386" customFormat="false" ht="14.25" hidden="true" customHeight="false" outlineLevel="0" collapsed="false">
      <c r="A386" s="134" t="s">
        <v>190</v>
      </c>
      <c r="B386" s="134" t="n">
        <v>175</v>
      </c>
      <c r="C386" s="135" t="s">
        <v>238</v>
      </c>
      <c r="D386" s="135" t="s">
        <v>223</v>
      </c>
      <c r="E386" s="135" t="s">
        <v>234</v>
      </c>
      <c r="F386" s="135" t="s">
        <v>914</v>
      </c>
      <c r="G386" s="136" t="n">
        <v>54</v>
      </c>
      <c r="H386" s="135" t="n">
        <v>5.25935</v>
      </c>
      <c r="I386" s="135" t="n">
        <v>10.06485</v>
      </c>
      <c r="J386" s="134" t="s">
        <v>22</v>
      </c>
    </row>
    <row r="387" customFormat="false" ht="14.25" hidden="true" customHeight="false" outlineLevel="0" collapsed="false">
      <c r="A387" s="134" t="s">
        <v>177</v>
      </c>
      <c r="B387" s="134" t="n">
        <v>161</v>
      </c>
      <c r="C387" s="135" t="s">
        <v>242</v>
      </c>
      <c r="D387" s="135" t="s">
        <v>223</v>
      </c>
      <c r="E387" s="135" t="s">
        <v>241</v>
      </c>
      <c r="F387" s="135" t="s">
        <v>921</v>
      </c>
      <c r="G387" s="136" t="n">
        <v>80</v>
      </c>
      <c r="H387" s="135" t="n">
        <v>5.01028</v>
      </c>
      <c r="I387" s="135" t="n">
        <v>10.45897</v>
      </c>
      <c r="J387" s="134" t="s">
        <v>22</v>
      </c>
    </row>
    <row r="388" customFormat="false" ht="14.25" hidden="true" customHeight="false" outlineLevel="0" collapsed="false">
      <c r="A388" s="134" t="s">
        <v>175</v>
      </c>
      <c r="B388" s="134" t="n">
        <v>145</v>
      </c>
      <c r="C388" s="135" t="s">
        <v>245</v>
      </c>
      <c r="D388" s="135" t="s">
        <v>223</v>
      </c>
      <c r="E388" s="135" t="s">
        <v>243</v>
      </c>
      <c r="F388" s="135" t="s">
        <v>904</v>
      </c>
      <c r="G388" s="136" t="n">
        <v>81</v>
      </c>
      <c r="H388" s="135" t="n">
        <v>5.995668</v>
      </c>
      <c r="I388" s="135" t="n">
        <v>11.113948</v>
      </c>
      <c r="J388" s="134" t="s">
        <v>22</v>
      </c>
    </row>
    <row r="389" customFormat="false" ht="14.25" hidden="true" customHeight="false" outlineLevel="0" collapsed="false">
      <c r="A389" s="134" t="s">
        <v>190</v>
      </c>
      <c r="B389" s="134" t="n">
        <v>178</v>
      </c>
      <c r="C389" s="135" t="s">
        <v>263</v>
      </c>
      <c r="D389" s="135" t="s">
        <v>223</v>
      </c>
      <c r="E389" s="135" t="s">
        <v>243</v>
      </c>
      <c r="F389" s="135" t="s">
        <v>904</v>
      </c>
      <c r="G389" s="136" t="n">
        <v>54</v>
      </c>
      <c r="H389" s="135" t="n">
        <v>6.06378</v>
      </c>
      <c r="I389" s="135" t="n">
        <v>11.15579</v>
      </c>
      <c r="J389" s="134" t="s">
        <v>22</v>
      </c>
    </row>
    <row r="390" customFormat="false" ht="14.25" hidden="true" customHeight="false" outlineLevel="0" collapsed="false">
      <c r="A390" s="134" t="s">
        <v>177</v>
      </c>
      <c r="B390" s="134" t="n">
        <v>162</v>
      </c>
      <c r="C390" s="135" t="s">
        <v>248</v>
      </c>
      <c r="D390" s="135" t="s">
        <v>223</v>
      </c>
      <c r="E390" s="135" t="s">
        <v>243</v>
      </c>
      <c r="F390" s="135" t="s">
        <v>905</v>
      </c>
      <c r="G390" s="136" t="n">
        <v>80</v>
      </c>
      <c r="H390" s="135" t="n">
        <v>5.58742</v>
      </c>
      <c r="I390" s="135" t="n">
        <v>11.12305</v>
      </c>
      <c r="J390" s="134" t="s">
        <v>22</v>
      </c>
    </row>
    <row r="391" customFormat="false" ht="14.25" hidden="true" customHeight="false" outlineLevel="0" collapsed="false">
      <c r="A391" s="134" t="s">
        <v>177</v>
      </c>
      <c r="B391" s="134" t="n">
        <v>160</v>
      </c>
      <c r="C391" s="135" t="s">
        <v>250</v>
      </c>
      <c r="D391" s="135" t="s">
        <v>223</v>
      </c>
      <c r="E391" s="135" t="s">
        <v>243</v>
      </c>
      <c r="F391" s="135" t="s">
        <v>905</v>
      </c>
      <c r="G391" s="136" t="n">
        <v>50</v>
      </c>
      <c r="H391" s="135" t="n">
        <v>5.58242</v>
      </c>
      <c r="I391" s="135" t="n">
        <v>11.06349</v>
      </c>
      <c r="J391" s="134" t="s">
        <v>22</v>
      </c>
    </row>
    <row r="392" customFormat="false" ht="14.25" hidden="true" customHeight="false" outlineLevel="0" collapsed="false">
      <c r="A392" s="134" t="s">
        <v>175</v>
      </c>
      <c r="B392" s="134" t="n">
        <v>147</v>
      </c>
      <c r="C392" s="135" t="s">
        <v>255</v>
      </c>
      <c r="D392" s="135" t="s">
        <v>223</v>
      </c>
      <c r="E392" s="135" t="s">
        <v>243</v>
      </c>
      <c r="F392" s="135" t="s">
        <v>905</v>
      </c>
      <c r="G392" s="136" t="n">
        <v>81</v>
      </c>
      <c r="H392" s="135" t="n">
        <v>5.783989</v>
      </c>
      <c r="I392" s="135" t="n">
        <v>11.105937</v>
      </c>
      <c r="J392" s="134" t="s">
        <v>22</v>
      </c>
    </row>
    <row r="393" customFormat="false" ht="14.25" hidden="true" customHeight="false" outlineLevel="0" collapsed="false">
      <c r="A393" s="134" t="s">
        <v>190</v>
      </c>
      <c r="B393" s="134" t="n">
        <v>176</v>
      </c>
      <c r="C393" s="135" t="s">
        <v>257</v>
      </c>
      <c r="D393" s="135" t="s">
        <v>223</v>
      </c>
      <c r="E393" s="135" t="s">
        <v>243</v>
      </c>
      <c r="F393" s="135" t="s">
        <v>905</v>
      </c>
      <c r="G393" s="136" t="n">
        <v>140.4</v>
      </c>
      <c r="H393" s="135" t="n">
        <v>5.49565</v>
      </c>
      <c r="I393" s="135" t="n">
        <v>11.09099</v>
      </c>
      <c r="J393" s="134" t="s">
        <v>22</v>
      </c>
    </row>
    <row r="394" customFormat="false" ht="14.25" hidden="true" customHeight="false" outlineLevel="0" collapsed="false">
      <c r="A394" s="134" t="s">
        <v>175</v>
      </c>
      <c r="B394" s="134" t="n">
        <v>144</v>
      </c>
      <c r="C394" s="135" t="s">
        <v>259</v>
      </c>
      <c r="D394" s="135" t="s">
        <v>223</v>
      </c>
      <c r="E394" s="135" t="s">
        <v>243</v>
      </c>
      <c r="F394" s="135" t="s">
        <v>905</v>
      </c>
      <c r="G394" s="136" t="n">
        <v>32.4</v>
      </c>
      <c r="H394" s="135" t="n">
        <v>5.647868</v>
      </c>
      <c r="I394" s="135" t="n">
        <v>11.191309</v>
      </c>
      <c r="J394" s="134" t="s">
        <v>22</v>
      </c>
    </row>
    <row r="395" customFormat="false" ht="14.25" hidden="true" customHeight="false" outlineLevel="0" collapsed="false">
      <c r="A395" s="134" t="s">
        <v>175</v>
      </c>
      <c r="B395" s="134" t="n">
        <v>148</v>
      </c>
      <c r="C395" s="135" t="s">
        <v>260</v>
      </c>
      <c r="D395" s="135" t="s">
        <v>223</v>
      </c>
      <c r="E395" s="135" t="s">
        <v>243</v>
      </c>
      <c r="F395" s="135" t="s">
        <v>905</v>
      </c>
      <c r="G395" s="136" t="n">
        <v>81</v>
      </c>
      <c r="H395" s="135" t="n">
        <v>5.826174</v>
      </c>
      <c r="I395" s="135" t="n">
        <v>11.224601</v>
      </c>
      <c r="J395" s="134" t="s">
        <v>22</v>
      </c>
    </row>
    <row r="396" customFormat="false" ht="14.25" hidden="true" customHeight="false" outlineLevel="0" collapsed="false">
      <c r="A396" s="134" t="s">
        <v>175</v>
      </c>
      <c r="B396" s="134" t="n">
        <v>143</v>
      </c>
      <c r="C396" s="135" t="s">
        <v>261</v>
      </c>
      <c r="D396" s="135" t="s">
        <v>223</v>
      </c>
      <c r="E396" s="135" t="s">
        <v>243</v>
      </c>
      <c r="F396" s="135" t="s">
        <v>905</v>
      </c>
      <c r="G396" s="136" t="n">
        <v>54</v>
      </c>
      <c r="H396" s="135" t="n">
        <v>5.738872</v>
      </c>
      <c r="I396" s="135" t="n">
        <v>11.059034</v>
      </c>
      <c r="J396" s="134" t="s">
        <v>22</v>
      </c>
    </row>
    <row r="397" customFormat="false" ht="14.25" hidden="true" customHeight="false" outlineLevel="0" collapsed="false">
      <c r="A397" s="134" t="s">
        <v>177</v>
      </c>
      <c r="B397" s="134" t="n">
        <v>157</v>
      </c>
      <c r="C397" s="135" t="s">
        <v>268</v>
      </c>
      <c r="D397" s="135" t="s">
        <v>223</v>
      </c>
      <c r="E397" s="135" t="s">
        <v>243</v>
      </c>
      <c r="F397" s="135" t="s">
        <v>905</v>
      </c>
      <c r="G397" s="136" t="n">
        <v>30</v>
      </c>
      <c r="H397" s="135" t="n">
        <v>5.51998</v>
      </c>
      <c r="I397" s="135" t="n">
        <v>11.11039</v>
      </c>
      <c r="J397" s="134" t="s">
        <v>22</v>
      </c>
    </row>
    <row r="398" customFormat="false" ht="14.25" hidden="true" customHeight="false" outlineLevel="0" collapsed="false">
      <c r="A398" s="134" t="s">
        <v>190</v>
      </c>
      <c r="B398" s="134" t="n">
        <v>168</v>
      </c>
      <c r="C398" s="135" t="s">
        <v>244</v>
      </c>
      <c r="D398" s="135" t="s">
        <v>223</v>
      </c>
      <c r="E398" s="135" t="s">
        <v>243</v>
      </c>
      <c r="F398" s="135" t="s">
        <v>906</v>
      </c>
      <c r="G398" s="136" t="n">
        <v>183.6</v>
      </c>
      <c r="H398" s="135" t="n">
        <v>5.5292</v>
      </c>
      <c r="I398" s="135" t="n">
        <v>11.09318</v>
      </c>
      <c r="J398" s="134" t="s">
        <v>22</v>
      </c>
    </row>
    <row r="399" customFormat="false" ht="14.25" hidden="true" customHeight="false" outlineLevel="0" collapsed="false">
      <c r="A399" s="134" t="s">
        <v>190</v>
      </c>
      <c r="B399" s="134" t="n">
        <v>171</v>
      </c>
      <c r="C399" s="135" t="s">
        <v>249</v>
      </c>
      <c r="D399" s="135" t="s">
        <v>223</v>
      </c>
      <c r="E399" s="135" t="s">
        <v>243</v>
      </c>
      <c r="F399" s="135" t="s">
        <v>906</v>
      </c>
      <c r="G399" s="136" t="n">
        <v>54</v>
      </c>
      <c r="H399" s="135" t="n">
        <v>5.74155</v>
      </c>
      <c r="I399" s="135" t="n">
        <v>11.04888</v>
      </c>
      <c r="J399" s="134" t="s">
        <v>22</v>
      </c>
    </row>
    <row r="400" customFormat="false" ht="14.25" hidden="true" customHeight="false" outlineLevel="0" collapsed="false">
      <c r="A400" s="134" t="s">
        <v>190</v>
      </c>
      <c r="B400" s="134" t="n">
        <v>172</v>
      </c>
      <c r="C400" s="135" t="s">
        <v>251</v>
      </c>
      <c r="D400" s="135" t="s">
        <v>223</v>
      </c>
      <c r="E400" s="135" t="s">
        <v>243</v>
      </c>
      <c r="F400" s="135" t="s">
        <v>906</v>
      </c>
      <c r="G400" s="136" t="n">
        <v>97.2</v>
      </c>
      <c r="H400" s="135" t="n">
        <v>5.547443</v>
      </c>
      <c r="I400" s="135" t="n">
        <v>11.043569</v>
      </c>
      <c r="J400" s="134" t="s">
        <v>22</v>
      </c>
    </row>
    <row r="401" customFormat="false" ht="14.25" hidden="true" customHeight="false" outlineLevel="0" collapsed="false">
      <c r="A401" s="134" t="s">
        <v>190</v>
      </c>
      <c r="B401" s="134" t="n">
        <v>179</v>
      </c>
      <c r="C401" s="135" t="s">
        <v>265</v>
      </c>
      <c r="D401" s="135" t="s">
        <v>223</v>
      </c>
      <c r="E401" s="135" t="s">
        <v>243</v>
      </c>
      <c r="F401" s="135" t="s">
        <v>906</v>
      </c>
      <c r="G401" s="136" t="n">
        <v>54</v>
      </c>
      <c r="H401" s="135" t="n">
        <v>5.56019</v>
      </c>
      <c r="I401" s="135" t="n">
        <v>11.0511</v>
      </c>
      <c r="J401" s="134" t="s">
        <v>22</v>
      </c>
    </row>
    <row r="402" customFormat="false" ht="14.25" hidden="true" customHeight="false" outlineLevel="0" collapsed="false">
      <c r="A402" s="134" t="s">
        <v>190</v>
      </c>
      <c r="B402" s="134" t="n">
        <v>180</v>
      </c>
      <c r="C402" s="135" t="s">
        <v>267</v>
      </c>
      <c r="D402" s="135" t="s">
        <v>223</v>
      </c>
      <c r="E402" s="135" t="s">
        <v>243</v>
      </c>
      <c r="F402" s="135" t="s">
        <v>906</v>
      </c>
      <c r="G402" s="136" t="n">
        <v>97.2</v>
      </c>
      <c r="H402" s="135" t="n">
        <v>5.67685</v>
      </c>
      <c r="I402" s="135" t="n">
        <v>11.119433</v>
      </c>
      <c r="J402" s="134" t="s">
        <v>22</v>
      </c>
    </row>
    <row r="403" customFormat="false" ht="14.25" hidden="true" customHeight="false" outlineLevel="0" collapsed="false">
      <c r="A403" s="134" t="s">
        <v>175</v>
      </c>
      <c r="B403" s="134" t="n">
        <v>141</v>
      </c>
      <c r="C403" s="135" t="s">
        <v>246</v>
      </c>
      <c r="D403" s="135" t="s">
        <v>223</v>
      </c>
      <c r="E403" s="135" t="s">
        <v>243</v>
      </c>
      <c r="F403" s="135" t="s">
        <v>907</v>
      </c>
      <c r="G403" s="136" t="n">
        <v>54</v>
      </c>
      <c r="H403" s="135" t="n">
        <v>5.494533</v>
      </c>
      <c r="I403" s="135" t="n">
        <v>11.036124</v>
      </c>
      <c r="J403" s="134" t="s">
        <v>22</v>
      </c>
    </row>
    <row r="404" customFormat="false" ht="14.25" hidden="true" customHeight="false" outlineLevel="0" collapsed="false">
      <c r="A404" s="134" t="s">
        <v>177</v>
      </c>
      <c r="B404" s="134" t="n">
        <v>165</v>
      </c>
      <c r="C404" s="135" t="s">
        <v>247</v>
      </c>
      <c r="D404" s="135" t="s">
        <v>223</v>
      </c>
      <c r="E404" s="135" t="s">
        <v>243</v>
      </c>
      <c r="F404" s="135" t="s">
        <v>907</v>
      </c>
      <c r="G404" s="136" t="n">
        <v>100</v>
      </c>
      <c r="H404" s="135" t="n">
        <v>5.42516</v>
      </c>
      <c r="I404" s="135" t="n">
        <v>11.06917</v>
      </c>
      <c r="J404" s="134" t="s">
        <v>22</v>
      </c>
    </row>
    <row r="405" customFormat="false" ht="14.25" hidden="true" customHeight="false" outlineLevel="0" collapsed="false">
      <c r="A405" s="134" t="s">
        <v>190</v>
      </c>
      <c r="B405" s="134" t="n">
        <v>173</v>
      </c>
      <c r="C405" s="135" t="s">
        <v>253</v>
      </c>
      <c r="D405" s="135" t="s">
        <v>223</v>
      </c>
      <c r="E405" s="135" t="s">
        <v>243</v>
      </c>
      <c r="F405" s="135" t="s">
        <v>907</v>
      </c>
      <c r="G405" s="136" t="n">
        <v>140.4</v>
      </c>
      <c r="H405" s="135" t="n">
        <v>5.48425</v>
      </c>
      <c r="I405" s="135" t="n">
        <v>10.95906</v>
      </c>
      <c r="J405" s="134" t="s">
        <v>22</v>
      </c>
    </row>
    <row r="406" customFormat="false" ht="14.25" hidden="true" customHeight="false" outlineLevel="0" collapsed="false">
      <c r="A406" s="134" t="s">
        <v>190</v>
      </c>
      <c r="B406" s="134" t="n">
        <v>174</v>
      </c>
      <c r="C406" s="135" t="s">
        <v>254</v>
      </c>
      <c r="D406" s="135" t="s">
        <v>223</v>
      </c>
      <c r="E406" s="135" t="s">
        <v>243</v>
      </c>
      <c r="F406" s="135" t="s">
        <v>907</v>
      </c>
      <c r="G406" s="136" t="n">
        <v>54</v>
      </c>
      <c r="H406" s="135" t="n">
        <v>5.4435</v>
      </c>
      <c r="I406" s="135" t="n">
        <v>11.068283</v>
      </c>
      <c r="J406" s="134" t="s">
        <v>22</v>
      </c>
    </row>
    <row r="407" customFormat="false" ht="14.25" hidden="true" customHeight="false" outlineLevel="0" collapsed="false">
      <c r="A407" s="134" t="s">
        <v>177</v>
      </c>
      <c r="B407" s="134" t="n">
        <v>164</v>
      </c>
      <c r="C407" s="135" t="s">
        <v>256</v>
      </c>
      <c r="D407" s="135" t="s">
        <v>223</v>
      </c>
      <c r="E407" s="135" t="s">
        <v>243</v>
      </c>
      <c r="F407" s="135" t="s">
        <v>907</v>
      </c>
      <c r="G407" s="136" t="n">
        <v>100</v>
      </c>
      <c r="H407" s="135" t="n">
        <v>5.46194</v>
      </c>
      <c r="I407" s="135" t="n">
        <v>11.07014</v>
      </c>
      <c r="J407" s="134" t="s">
        <v>22</v>
      </c>
    </row>
    <row r="408" customFormat="false" ht="14.25" hidden="true" customHeight="false" outlineLevel="0" collapsed="false">
      <c r="A408" s="134" t="s">
        <v>177</v>
      </c>
      <c r="B408" s="134" t="n">
        <v>166</v>
      </c>
      <c r="C408" s="135" t="s">
        <v>258</v>
      </c>
      <c r="D408" s="135" t="s">
        <v>223</v>
      </c>
      <c r="E408" s="135" t="s">
        <v>243</v>
      </c>
      <c r="F408" s="135" t="s">
        <v>907</v>
      </c>
      <c r="G408" s="136" t="n">
        <v>100</v>
      </c>
      <c r="H408" s="135" t="n">
        <v>5.17037</v>
      </c>
      <c r="I408" s="135" t="n">
        <v>10.85957</v>
      </c>
      <c r="J408" s="134" t="s">
        <v>22</v>
      </c>
    </row>
    <row r="409" customFormat="false" ht="14.25" hidden="true" customHeight="false" outlineLevel="0" collapsed="false">
      <c r="A409" s="134" t="s">
        <v>175</v>
      </c>
      <c r="B409" s="134" t="n">
        <v>140</v>
      </c>
      <c r="C409" s="135" t="s">
        <v>264</v>
      </c>
      <c r="D409" s="135" t="s">
        <v>223</v>
      </c>
      <c r="E409" s="135" t="s">
        <v>243</v>
      </c>
      <c r="F409" s="135" t="s">
        <v>907</v>
      </c>
      <c r="G409" s="136" t="n">
        <v>54</v>
      </c>
      <c r="H409" s="135" t="n">
        <v>5.436882</v>
      </c>
      <c r="I409" s="135" t="n">
        <v>11.090207</v>
      </c>
      <c r="J409" s="134" t="s">
        <v>22</v>
      </c>
    </row>
    <row r="410" customFormat="false" ht="14.25" hidden="true" customHeight="false" outlineLevel="0" collapsed="false">
      <c r="A410" s="134" t="s">
        <v>175</v>
      </c>
      <c r="B410" s="134" t="n">
        <v>149</v>
      </c>
      <c r="C410" s="135" t="s">
        <v>252</v>
      </c>
      <c r="D410" s="135" t="s">
        <v>223</v>
      </c>
      <c r="E410" s="135" t="s">
        <v>243</v>
      </c>
      <c r="F410" s="135" t="s">
        <v>908</v>
      </c>
      <c r="G410" s="136" t="n">
        <v>81</v>
      </c>
      <c r="H410" s="135" t="n">
        <v>5.834792</v>
      </c>
      <c r="I410" s="135" t="n">
        <v>11.074016</v>
      </c>
      <c r="J410" s="134" t="s">
        <v>22</v>
      </c>
    </row>
    <row r="411" customFormat="false" ht="14.25" hidden="true" customHeight="false" outlineLevel="0" collapsed="false">
      <c r="A411" s="134" t="s">
        <v>190</v>
      </c>
      <c r="B411" s="134" t="n">
        <v>177</v>
      </c>
      <c r="C411" s="135" t="s">
        <v>262</v>
      </c>
      <c r="D411" s="135" t="s">
        <v>223</v>
      </c>
      <c r="E411" s="135" t="s">
        <v>243</v>
      </c>
      <c r="F411" s="135" t="s">
        <v>908</v>
      </c>
      <c r="G411" s="136" t="n">
        <v>81</v>
      </c>
      <c r="H411" s="135" t="n">
        <v>5.825317</v>
      </c>
      <c r="I411" s="135" t="n">
        <v>11.0804</v>
      </c>
      <c r="J411" s="134" t="s">
        <v>22</v>
      </c>
    </row>
    <row r="412" customFormat="false" ht="14.25" hidden="true" customHeight="false" outlineLevel="0" collapsed="false">
      <c r="A412" s="134" t="s">
        <v>175</v>
      </c>
      <c r="B412" s="134" t="n">
        <v>146</v>
      </c>
      <c r="C412" s="135" t="s">
        <v>266</v>
      </c>
      <c r="D412" s="135" t="s">
        <v>223</v>
      </c>
      <c r="E412" s="135" t="s">
        <v>243</v>
      </c>
      <c r="F412" s="135" t="s">
        <v>908</v>
      </c>
      <c r="G412" s="136" t="n">
        <v>81</v>
      </c>
      <c r="H412" s="135" t="n">
        <v>5.797655</v>
      </c>
      <c r="I412" s="135" t="n">
        <v>11.085248</v>
      </c>
      <c r="J412" s="134" t="s">
        <v>22</v>
      </c>
    </row>
    <row r="413" customFormat="false" ht="14.25" hidden="true" customHeight="false" outlineLevel="0" collapsed="false">
      <c r="A413" s="128" t="s">
        <v>190</v>
      </c>
      <c r="B413" s="128" t="n">
        <v>126</v>
      </c>
      <c r="C413" s="129" t="s">
        <v>354</v>
      </c>
      <c r="D413" s="129" t="s">
        <v>352</v>
      </c>
      <c r="E413" s="129" t="s">
        <v>353</v>
      </c>
      <c r="F413" s="129" t="s">
        <v>787</v>
      </c>
      <c r="G413" s="130" t="n">
        <v>81</v>
      </c>
      <c r="H413" s="129" t="n">
        <v>3.446432</v>
      </c>
      <c r="I413" s="129" t="n">
        <v>12.394247</v>
      </c>
      <c r="J413" s="128" t="s">
        <v>40</v>
      </c>
    </row>
    <row r="414" customFormat="false" ht="14.25" hidden="true" customHeight="false" outlineLevel="0" collapsed="false">
      <c r="A414" s="128" t="s">
        <v>175</v>
      </c>
      <c r="B414" s="128" t="n">
        <v>107</v>
      </c>
      <c r="C414" s="129" t="s">
        <v>359</v>
      </c>
      <c r="D414" s="129" t="s">
        <v>352</v>
      </c>
      <c r="E414" s="129" t="s">
        <v>353</v>
      </c>
      <c r="F414" s="129" t="s">
        <v>787</v>
      </c>
      <c r="G414" s="130" t="n">
        <v>54</v>
      </c>
      <c r="H414" s="129" t="n">
        <v>3.330748</v>
      </c>
      <c r="I414" s="129" t="n">
        <v>12.433112</v>
      </c>
      <c r="J414" s="128" t="s">
        <v>40</v>
      </c>
    </row>
    <row r="415" customFormat="false" ht="14.25" hidden="true" customHeight="false" outlineLevel="0" collapsed="false">
      <c r="A415" s="128" t="s">
        <v>175</v>
      </c>
      <c r="B415" s="128" t="n">
        <v>115</v>
      </c>
      <c r="C415" s="129" t="s">
        <v>364</v>
      </c>
      <c r="D415" s="129" t="s">
        <v>352</v>
      </c>
      <c r="E415" s="129" t="s">
        <v>353</v>
      </c>
      <c r="F415" s="129" t="s">
        <v>787</v>
      </c>
      <c r="G415" s="130" t="n">
        <v>21.6</v>
      </c>
      <c r="H415" s="129" t="n">
        <v>3.379053</v>
      </c>
      <c r="I415" s="129" t="n">
        <v>12.420064</v>
      </c>
      <c r="J415" s="128" t="s">
        <v>40</v>
      </c>
    </row>
    <row r="416" customFormat="false" ht="14.25" hidden="true" customHeight="false" outlineLevel="0" collapsed="false">
      <c r="A416" s="128" t="s">
        <v>175</v>
      </c>
      <c r="B416" s="128" t="n">
        <v>105</v>
      </c>
      <c r="C416" s="129" t="s">
        <v>357</v>
      </c>
      <c r="D416" s="129" t="s">
        <v>352</v>
      </c>
      <c r="E416" s="129" t="s">
        <v>353</v>
      </c>
      <c r="F416" s="129" t="s">
        <v>788</v>
      </c>
      <c r="G416" s="130" t="n">
        <v>32.4</v>
      </c>
      <c r="H416" s="129" t="n">
        <v>2.49494</v>
      </c>
      <c r="I416" s="129" t="n">
        <v>12.674909</v>
      </c>
      <c r="J416" s="128" t="s">
        <v>40</v>
      </c>
    </row>
    <row r="417" customFormat="false" ht="14.25" hidden="true" customHeight="false" outlineLevel="0" collapsed="false">
      <c r="A417" s="128" t="s">
        <v>190</v>
      </c>
      <c r="B417" s="128" t="n">
        <v>129</v>
      </c>
      <c r="C417" s="129" t="s">
        <v>358</v>
      </c>
      <c r="D417" s="129" t="s">
        <v>352</v>
      </c>
      <c r="E417" s="129" t="s">
        <v>353</v>
      </c>
      <c r="F417" s="129" t="s">
        <v>788</v>
      </c>
      <c r="G417" s="130" t="n">
        <v>54</v>
      </c>
      <c r="H417" s="129" t="n">
        <v>2.523093</v>
      </c>
      <c r="I417" s="129" t="n">
        <v>11.656986</v>
      </c>
      <c r="J417" s="128" t="s">
        <v>40</v>
      </c>
    </row>
    <row r="418" customFormat="false" ht="14.25" hidden="true" customHeight="false" outlineLevel="0" collapsed="false">
      <c r="A418" s="128" t="s">
        <v>177</v>
      </c>
      <c r="B418" s="128" t="n">
        <v>146</v>
      </c>
      <c r="C418" s="129" t="s">
        <v>362</v>
      </c>
      <c r="D418" s="129" t="s">
        <v>352</v>
      </c>
      <c r="E418" s="129" t="s">
        <v>353</v>
      </c>
      <c r="F418" s="129" t="s">
        <v>789</v>
      </c>
      <c r="G418" s="130" t="n">
        <v>80</v>
      </c>
      <c r="H418" s="129" t="n">
        <v>2.6997</v>
      </c>
      <c r="I418" s="129" t="n">
        <v>11.06308</v>
      </c>
      <c r="J418" s="128" t="s">
        <v>40</v>
      </c>
    </row>
    <row r="419" customFormat="false" ht="14.25" hidden="true" customHeight="false" outlineLevel="0" collapsed="false">
      <c r="A419" s="128" t="s">
        <v>177</v>
      </c>
      <c r="B419" s="128" t="n">
        <v>142</v>
      </c>
      <c r="C419" s="129" t="s">
        <v>361</v>
      </c>
      <c r="D419" s="129" t="s">
        <v>352</v>
      </c>
      <c r="E419" s="129" t="s">
        <v>353</v>
      </c>
      <c r="F419" s="129" t="s">
        <v>361</v>
      </c>
      <c r="G419" s="130" t="n">
        <v>80</v>
      </c>
      <c r="H419" s="129" t="n">
        <v>3.25759952</v>
      </c>
      <c r="I419" s="129" t="n">
        <v>12.16448307</v>
      </c>
      <c r="J419" s="128" t="s">
        <v>40</v>
      </c>
    </row>
    <row r="420" customFormat="false" ht="14.25" hidden="true" customHeight="false" outlineLevel="0" collapsed="false">
      <c r="A420" s="128" t="s">
        <v>190</v>
      </c>
      <c r="B420" s="128" t="n">
        <v>136</v>
      </c>
      <c r="C420" s="129" t="s">
        <v>365</v>
      </c>
      <c r="D420" s="129" t="s">
        <v>352</v>
      </c>
      <c r="E420" s="129" t="s">
        <v>353</v>
      </c>
      <c r="F420" s="129" t="s">
        <v>790</v>
      </c>
      <c r="G420" s="130" t="n">
        <v>32.4</v>
      </c>
      <c r="H420" s="129" t="n">
        <v>3.25759952</v>
      </c>
      <c r="I420" s="129" t="n">
        <v>12.16448307</v>
      </c>
      <c r="J420" s="128" t="s">
        <v>40</v>
      </c>
    </row>
    <row r="421" customFormat="false" ht="14.25" hidden="true" customHeight="false" outlineLevel="0" collapsed="false">
      <c r="A421" s="128" t="s">
        <v>177</v>
      </c>
      <c r="B421" s="128" t="n">
        <v>131</v>
      </c>
      <c r="C421" s="129" t="s">
        <v>368</v>
      </c>
      <c r="D421" s="129" t="s">
        <v>352</v>
      </c>
      <c r="E421" s="129" t="s">
        <v>353</v>
      </c>
      <c r="F421" s="129" t="s">
        <v>790</v>
      </c>
      <c r="G421" s="130" t="n">
        <v>30</v>
      </c>
      <c r="H421" s="129" t="n">
        <v>3.15655</v>
      </c>
      <c r="I421" s="129" t="n">
        <v>12.12091667</v>
      </c>
      <c r="J421" s="128" t="s">
        <v>40</v>
      </c>
    </row>
    <row r="422" customFormat="false" ht="14.25" hidden="true" customHeight="false" outlineLevel="0" collapsed="false">
      <c r="A422" s="128" t="s">
        <v>177</v>
      </c>
      <c r="B422" s="128" t="n">
        <v>134</v>
      </c>
      <c r="C422" s="129" t="s">
        <v>356</v>
      </c>
      <c r="D422" s="129" t="s">
        <v>352</v>
      </c>
      <c r="E422" s="129" t="s">
        <v>353</v>
      </c>
      <c r="F422" s="129" t="s">
        <v>366</v>
      </c>
      <c r="G422" s="130" t="n">
        <v>30</v>
      </c>
      <c r="H422" s="129" t="n">
        <v>2.68361</v>
      </c>
      <c r="I422" s="129" t="n">
        <v>13.22847</v>
      </c>
      <c r="J422" s="128" t="s">
        <v>40</v>
      </c>
    </row>
    <row r="423" customFormat="false" ht="14.25" hidden="true" customHeight="false" outlineLevel="0" collapsed="false">
      <c r="A423" s="128" t="s">
        <v>175</v>
      </c>
      <c r="B423" s="128" t="n">
        <v>119</v>
      </c>
      <c r="C423" s="129" t="s">
        <v>360</v>
      </c>
      <c r="D423" s="129" t="s">
        <v>352</v>
      </c>
      <c r="E423" s="129" t="s">
        <v>353</v>
      </c>
      <c r="F423" s="129" t="s">
        <v>366</v>
      </c>
      <c r="G423" s="130" t="n">
        <v>21.6</v>
      </c>
      <c r="H423" s="129" t="n">
        <v>2.48668</v>
      </c>
      <c r="I423" s="129" t="n">
        <v>13.389099</v>
      </c>
      <c r="J423" s="128" t="s">
        <v>40</v>
      </c>
    </row>
    <row r="424" customFormat="false" ht="14.25" hidden="true" customHeight="false" outlineLevel="0" collapsed="false">
      <c r="A424" s="128" t="s">
        <v>177</v>
      </c>
      <c r="B424" s="128" t="n">
        <v>126</v>
      </c>
      <c r="C424" s="129" t="s">
        <v>363</v>
      </c>
      <c r="D424" s="129" t="s">
        <v>352</v>
      </c>
      <c r="E424" s="129" t="s">
        <v>353</v>
      </c>
      <c r="F424" s="129" t="s">
        <v>366</v>
      </c>
      <c r="G424" s="130" t="n">
        <v>30</v>
      </c>
      <c r="H424" s="129" t="n">
        <v>2.71715</v>
      </c>
      <c r="I424" s="129" t="n">
        <v>13.10295</v>
      </c>
      <c r="J424" s="128" t="s">
        <v>40</v>
      </c>
    </row>
    <row r="425" customFormat="false" ht="14.25" hidden="true" customHeight="false" outlineLevel="0" collapsed="false">
      <c r="A425" s="128" t="s">
        <v>177</v>
      </c>
      <c r="B425" s="128" t="n">
        <v>147</v>
      </c>
      <c r="C425" s="129" t="s">
        <v>366</v>
      </c>
      <c r="D425" s="129" t="s">
        <v>352</v>
      </c>
      <c r="E425" s="129" t="s">
        <v>353</v>
      </c>
      <c r="F425" s="129" t="s">
        <v>366</v>
      </c>
      <c r="G425" s="130" t="n">
        <v>100</v>
      </c>
      <c r="H425" s="129" t="n">
        <v>2.70266</v>
      </c>
      <c r="I425" s="129" t="n">
        <v>13.29207</v>
      </c>
      <c r="J425" s="128" t="s">
        <v>40</v>
      </c>
    </row>
    <row r="426" customFormat="false" ht="14.25" hidden="true" customHeight="false" outlineLevel="0" collapsed="false">
      <c r="A426" s="128" t="s">
        <v>190</v>
      </c>
      <c r="B426" s="128" t="n">
        <v>141</v>
      </c>
      <c r="C426" s="129" t="s">
        <v>374</v>
      </c>
      <c r="D426" s="129" t="s">
        <v>352</v>
      </c>
      <c r="E426" s="129" t="s">
        <v>353</v>
      </c>
      <c r="F426" s="129" t="s">
        <v>366</v>
      </c>
      <c r="G426" s="130" t="n">
        <v>32.4</v>
      </c>
      <c r="H426" s="129" t="n">
        <v>2.734217</v>
      </c>
      <c r="I426" s="129" t="n">
        <v>13.349783</v>
      </c>
      <c r="J426" s="128" t="s">
        <v>40</v>
      </c>
    </row>
    <row r="427" customFormat="false" ht="14.25" hidden="true" customHeight="false" outlineLevel="0" collapsed="false">
      <c r="A427" s="128" t="s">
        <v>190</v>
      </c>
      <c r="B427" s="128" t="n">
        <v>142</v>
      </c>
      <c r="C427" s="129" t="s">
        <v>375</v>
      </c>
      <c r="D427" s="129" t="s">
        <v>352</v>
      </c>
      <c r="E427" s="129" t="s">
        <v>353</v>
      </c>
      <c r="F427" s="129" t="s">
        <v>366</v>
      </c>
      <c r="G427" s="130" t="n">
        <v>54</v>
      </c>
      <c r="H427" s="129" t="n">
        <v>2.6745</v>
      </c>
      <c r="I427" s="129" t="n">
        <v>13.258767</v>
      </c>
      <c r="J427" s="128" t="s">
        <v>40</v>
      </c>
    </row>
    <row r="428" customFormat="false" ht="14.25" hidden="true" customHeight="false" outlineLevel="0" collapsed="false">
      <c r="A428" s="128" t="s">
        <v>175</v>
      </c>
      <c r="B428" s="128" t="n">
        <v>110</v>
      </c>
      <c r="C428" s="129" t="s">
        <v>367</v>
      </c>
      <c r="D428" s="129" t="s">
        <v>352</v>
      </c>
      <c r="E428" s="129" t="s">
        <v>353</v>
      </c>
      <c r="F428" s="129" t="s">
        <v>372</v>
      </c>
      <c r="G428" s="130" t="n">
        <v>32.4</v>
      </c>
      <c r="H428" s="129" t="n">
        <v>2.435338</v>
      </c>
      <c r="I428" s="129" t="n">
        <v>12.399367</v>
      </c>
      <c r="J428" s="128" t="s">
        <v>40</v>
      </c>
    </row>
    <row r="429" customFormat="false" ht="14.25" hidden="true" customHeight="false" outlineLevel="0" collapsed="false">
      <c r="A429" s="128" t="s">
        <v>175</v>
      </c>
      <c r="B429" s="128" t="n">
        <v>117</v>
      </c>
      <c r="C429" s="129" t="s">
        <v>371</v>
      </c>
      <c r="D429" s="129" t="s">
        <v>352</v>
      </c>
      <c r="E429" s="129" t="s">
        <v>353</v>
      </c>
      <c r="F429" s="129" t="s">
        <v>372</v>
      </c>
      <c r="G429" s="130" t="n">
        <v>32.4</v>
      </c>
      <c r="H429" s="129" t="n">
        <v>2.396163</v>
      </c>
      <c r="I429" s="129" t="n">
        <v>12.450958</v>
      </c>
      <c r="J429" s="128" t="s">
        <v>40</v>
      </c>
    </row>
    <row r="430" customFormat="false" ht="14.25" hidden="true" customHeight="false" outlineLevel="0" collapsed="false">
      <c r="A430" s="128" t="s">
        <v>177</v>
      </c>
      <c r="B430" s="128" t="n">
        <v>148</v>
      </c>
      <c r="C430" s="129" t="s">
        <v>372</v>
      </c>
      <c r="D430" s="129" t="s">
        <v>352</v>
      </c>
      <c r="E430" s="129" t="s">
        <v>353</v>
      </c>
      <c r="F430" s="129" t="s">
        <v>372</v>
      </c>
      <c r="G430" s="130" t="n">
        <v>100</v>
      </c>
      <c r="H430" s="129" t="n">
        <v>2.42007</v>
      </c>
      <c r="I430" s="129" t="n">
        <v>12.25748</v>
      </c>
      <c r="J430" s="128" t="s">
        <v>40</v>
      </c>
    </row>
    <row r="431" customFormat="false" ht="14.25" hidden="true" customHeight="false" outlineLevel="0" collapsed="false">
      <c r="A431" s="128" t="s">
        <v>190</v>
      </c>
      <c r="B431" s="128" t="n">
        <v>140</v>
      </c>
      <c r="C431" s="129" t="s">
        <v>373</v>
      </c>
      <c r="D431" s="129" t="s">
        <v>352</v>
      </c>
      <c r="E431" s="129" t="s">
        <v>353</v>
      </c>
      <c r="F431" s="129" t="s">
        <v>372</v>
      </c>
      <c r="G431" s="130" t="n">
        <v>21.6</v>
      </c>
      <c r="H431" s="129" t="n">
        <v>2.38543</v>
      </c>
      <c r="I431" s="129" t="n">
        <v>12.21836</v>
      </c>
      <c r="J431" s="128" t="s">
        <v>40</v>
      </c>
    </row>
    <row r="432" customFormat="false" ht="14.25" hidden="true" customHeight="false" outlineLevel="0" collapsed="false">
      <c r="A432" s="128" t="s">
        <v>177</v>
      </c>
      <c r="B432" s="128" t="n">
        <v>137</v>
      </c>
      <c r="C432" s="129" t="s">
        <v>355</v>
      </c>
      <c r="D432" s="129" t="s">
        <v>352</v>
      </c>
      <c r="E432" s="129" t="s">
        <v>353</v>
      </c>
      <c r="F432" s="129" t="s">
        <v>791</v>
      </c>
      <c r="G432" s="130" t="n">
        <v>50</v>
      </c>
      <c r="H432" s="129" t="n">
        <v>3.08665</v>
      </c>
      <c r="I432" s="129" t="n">
        <v>12.02868333</v>
      </c>
      <c r="J432" s="128" t="s">
        <v>40</v>
      </c>
    </row>
    <row r="433" customFormat="false" ht="14.25" hidden="true" customHeight="false" outlineLevel="0" collapsed="false">
      <c r="A433" s="128" t="s">
        <v>177</v>
      </c>
      <c r="B433" s="128" t="n">
        <v>138</v>
      </c>
      <c r="C433" s="129" t="s">
        <v>369</v>
      </c>
      <c r="D433" s="129" t="s">
        <v>352</v>
      </c>
      <c r="E433" s="129" t="s">
        <v>353</v>
      </c>
      <c r="F433" s="129" t="s">
        <v>792</v>
      </c>
      <c r="G433" s="130" t="n">
        <v>50</v>
      </c>
      <c r="H433" s="129" t="n">
        <v>3.34323</v>
      </c>
      <c r="I433" s="129" t="n">
        <v>11.961</v>
      </c>
      <c r="J433" s="128" t="s">
        <v>40</v>
      </c>
    </row>
    <row r="434" customFormat="false" ht="14.25" hidden="true" customHeight="false" outlineLevel="0" collapsed="false">
      <c r="A434" s="128" t="s">
        <v>177</v>
      </c>
      <c r="B434" s="128" t="n">
        <v>132</v>
      </c>
      <c r="C434" s="129" t="s">
        <v>370</v>
      </c>
      <c r="D434" s="129" t="s">
        <v>352</v>
      </c>
      <c r="E434" s="129" t="s">
        <v>353</v>
      </c>
      <c r="F434" s="129" t="s">
        <v>792</v>
      </c>
      <c r="G434" s="130" t="n">
        <v>30</v>
      </c>
      <c r="H434" s="129" t="n">
        <v>3.16076</v>
      </c>
      <c r="I434" s="129" t="n">
        <v>11.91821</v>
      </c>
      <c r="J434" s="128" t="s">
        <v>40</v>
      </c>
    </row>
    <row r="435" customFormat="false" ht="14.25" hidden="true" customHeight="false" outlineLevel="0" collapsed="false">
      <c r="A435" s="128" t="s">
        <v>177</v>
      </c>
      <c r="B435" s="128" t="n">
        <v>128</v>
      </c>
      <c r="C435" s="129" t="s">
        <v>387</v>
      </c>
      <c r="D435" s="129" t="s">
        <v>352</v>
      </c>
      <c r="E435" s="129" t="s">
        <v>376</v>
      </c>
      <c r="F435" s="129" t="s">
        <v>793</v>
      </c>
      <c r="G435" s="130" t="n">
        <v>30</v>
      </c>
      <c r="H435" s="129" t="n">
        <v>3.04827</v>
      </c>
      <c r="I435" s="129" t="n">
        <v>11.21093</v>
      </c>
      <c r="J435" s="128" t="s">
        <v>40</v>
      </c>
    </row>
    <row r="436" customFormat="false" ht="14.25" hidden="true" customHeight="false" outlineLevel="0" collapsed="false">
      <c r="A436" s="128" t="s">
        <v>177</v>
      </c>
      <c r="B436" s="128" t="n">
        <v>143</v>
      </c>
      <c r="C436" s="129" t="s">
        <v>386</v>
      </c>
      <c r="D436" s="129" t="s">
        <v>352</v>
      </c>
      <c r="E436" s="129" t="s">
        <v>376</v>
      </c>
      <c r="F436" s="129" t="s">
        <v>794</v>
      </c>
      <c r="G436" s="130" t="n">
        <v>80</v>
      </c>
      <c r="H436" s="129" t="n">
        <v>2.84874</v>
      </c>
      <c r="I436" s="129" t="n">
        <v>11.67836</v>
      </c>
      <c r="J436" s="128" t="s">
        <v>40</v>
      </c>
    </row>
    <row r="437" customFormat="false" ht="14.25" hidden="true" customHeight="false" outlineLevel="0" collapsed="false">
      <c r="A437" s="128" t="s">
        <v>177</v>
      </c>
      <c r="B437" s="128" t="n">
        <v>144</v>
      </c>
      <c r="C437" s="129" t="s">
        <v>390</v>
      </c>
      <c r="D437" s="129" t="s">
        <v>352</v>
      </c>
      <c r="E437" s="129" t="s">
        <v>376</v>
      </c>
      <c r="F437" s="129" t="s">
        <v>794</v>
      </c>
      <c r="G437" s="130" t="n">
        <v>80</v>
      </c>
      <c r="H437" s="129" t="n">
        <v>2.7772</v>
      </c>
      <c r="I437" s="129" t="n">
        <v>10.43492</v>
      </c>
      <c r="J437" s="128" t="s">
        <v>40</v>
      </c>
    </row>
    <row r="438" customFormat="false" ht="14.25" hidden="true" customHeight="false" outlineLevel="0" collapsed="false">
      <c r="A438" s="128" t="s">
        <v>175</v>
      </c>
      <c r="B438" s="128" t="n">
        <v>116</v>
      </c>
      <c r="C438" s="129" t="s">
        <v>393</v>
      </c>
      <c r="D438" s="129" t="s">
        <v>352</v>
      </c>
      <c r="E438" s="129" t="s">
        <v>376</v>
      </c>
      <c r="F438" s="129" t="s">
        <v>795</v>
      </c>
      <c r="G438" s="130" t="n">
        <v>21.6</v>
      </c>
      <c r="H438" s="129" t="n">
        <v>3.135969</v>
      </c>
      <c r="I438" s="129" t="n">
        <v>10.912676</v>
      </c>
      <c r="J438" s="128" t="s">
        <v>40</v>
      </c>
    </row>
    <row r="439" customFormat="false" ht="14.25" hidden="true" customHeight="false" outlineLevel="0" collapsed="false">
      <c r="A439" s="128" t="s">
        <v>190</v>
      </c>
      <c r="B439" s="128" t="n">
        <v>137</v>
      </c>
      <c r="C439" s="129" t="s">
        <v>385</v>
      </c>
      <c r="D439" s="129" t="s">
        <v>352</v>
      </c>
      <c r="E439" s="129" t="s">
        <v>376</v>
      </c>
      <c r="F439" s="129" t="s">
        <v>796</v>
      </c>
      <c r="G439" s="130" t="n">
        <v>54</v>
      </c>
      <c r="H439" s="129" t="n">
        <v>2.78425</v>
      </c>
      <c r="I439" s="129" t="n">
        <v>11.662617</v>
      </c>
      <c r="J439" s="128" t="s">
        <v>40</v>
      </c>
    </row>
    <row r="440" customFormat="false" ht="14.25" hidden="true" customHeight="false" outlineLevel="0" collapsed="false">
      <c r="A440" s="128" t="s">
        <v>190</v>
      </c>
      <c r="B440" s="128" t="n">
        <v>139</v>
      </c>
      <c r="C440" s="129" t="s">
        <v>391</v>
      </c>
      <c r="D440" s="129" t="s">
        <v>352</v>
      </c>
      <c r="E440" s="129" t="s">
        <v>376</v>
      </c>
      <c r="F440" s="129" t="s">
        <v>796</v>
      </c>
      <c r="G440" s="130" t="n">
        <v>54</v>
      </c>
      <c r="H440" s="129" t="n">
        <v>2.8484</v>
      </c>
      <c r="I440" s="129" t="n">
        <v>11.571833</v>
      </c>
      <c r="J440" s="128" t="s">
        <v>40</v>
      </c>
    </row>
    <row r="441" customFormat="false" ht="14.25" hidden="true" customHeight="false" outlineLevel="0" collapsed="false">
      <c r="A441" s="128" t="s">
        <v>177</v>
      </c>
      <c r="B441" s="128" t="n">
        <v>145</v>
      </c>
      <c r="C441" s="129" t="s">
        <v>378</v>
      </c>
      <c r="D441" s="129" t="s">
        <v>352</v>
      </c>
      <c r="E441" s="129" t="s">
        <v>376</v>
      </c>
      <c r="F441" s="129" t="s">
        <v>797</v>
      </c>
      <c r="G441" s="130" t="n">
        <v>80</v>
      </c>
      <c r="H441" s="129" t="n">
        <v>2.833033333</v>
      </c>
      <c r="I441" s="129" t="n">
        <v>11.20676667</v>
      </c>
      <c r="J441" s="128" t="s">
        <v>40</v>
      </c>
    </row>
    <row r="442" customFormat="false" ht="14.25" hidden="true" customHeight="false" outlineLevel="0" collapsed="false">
      <c r="A442" s="128" t="s">
        <v>177</v>
      </c>
      <c r="B442" s="128" t="n">
        <v>135</v>
      </c>
      <c r="C442" s="129" t="s">
        <v>383</v>
      </c>
      <c r="D442" s="129" t="s">
        <v>352</v>
      </c>
      <c r="E442" s="129" t="s">
        <v>376</v>
      </c>
      <c r="F442" s="129" t="s">
        <v>798</v>
      </c>
      <c r="G442" s="130" t="n">
        <v>50</v>
      </c>
      <c r="H442" s="129" t="n">
        <v>2.63079</v>
      </c>
      <c r="I442" s="129" t="n">
        <v>11.34113</v>
      </c>
      <c r="J442" s="128" t="s">
        <v>40</v>
      </c>
    </row>
    <row r="443" customFormat="false" ht="14.25" hidden="true" customHeight="false" outlineLevel="0" collapsed="false">
      <c r="A443" s="128" t="s">
        <v>177</v>
      </c>
      <c r="B443" s="128" t="n">
        <v>127</v>
      </c>
      <c r="C443" s="129" t="s">
        <v>384</v>
      </c>
      <c r="D443" s="129" t="s">
        <v>352</v>
      </c>
      <c r="E443" s="129" t="s">
        <v>376</v>
      </c>
      <c r="F443" s="129" t="s">
        <v>798</v>
      </c>
      <c r="G443" s="130" t="n">
        <v>30</v>
      </c>
      <c r="H443" s="129" t="n">
        <v>2.58584</v>
      </c>
      <c r="I443" s="129" t="n">
        <v>11.44572</v>
      </c>
      <c r="J443" s="128" t="s">
        <v>40</v>
      </c>
    </row>
    <row r="444" customFormat="false" ht="14.25" hidden="true" customHeight="false" outlineLevel="0" collapsed="false">
      <c r="A444" s="128" t="s">
        <v>177</v>
      </c>
      <c r="B444" s="128" t="n">
        <v>139</v>
      </c>
      <c r="C444" s="129" t="s">
        <v>388</v>
      </c>
      <c r="D444" s="129" t="s">
        <v>352</v>
      </c>
      <c r="E444" s="129" t="s">
        <v>376</v>
      </c>
      <c r="F444" s="129" t="s">
        <v>798</v>
      </c>
      <c r="G444" s="130" t="n">
        <v>50</v>
      </c>
      <c r="H444" s="129" t="n">
        <v>2.81242</v>
      </c>
      <c r="I444" s="129" t="n">
        <v>11.1646</v>
      </c>
      <c r="J444" s="128" t="s">
        <v>40</v>
      </c>
    </row>
    <row r="445" customFormat="false" ht="14.25" hidden="true" customHeight="false" outlineLevel="0" collapsed="false">
      <c r="A445" s="128" t="s">
        <v>177</v>
      </c>
      <c r="B445" s="128" t="n">
        <v>130</v>
      </c>
      <c r="C445" s="129" t="s">
        <v>394</v>
      </c>
      <c r="D445" s="129" t="s">
        <v>352</v>
      </c>
      <c r="E445" s="129" t="s">
        <v>376</v>
      </c>
      <c r="F445" s="129" t="s">
        <v>798</v>
      </c>
      <c r="G445" s="130" t="n">
        <v>30</v>
      </c>
      <c r="H445" s="129" t="n">
        <v>2.69353</v>
      </c>
      <c r="I445" s="129" t="n">
        <v>11.2909</v>
      </c>
      <c r="J445" s="128" t="s">
        <v>40</v>
      </c>
    </row>
    <row r="446" customFormat="false" ht="14.25" hidden="true" customHeight="false" outlineLevel="0" collapsed="false">
      <c r="A446" s="128" t="s">
        <v>177</v>
      </c>
      <c r="B446" s="128" t="n">
        <v>129</v>
      </c>
      <c r="C446" s="129" t="s">
        <v>389</v>
      </c>
      <c r="D446" s="129" t="s">
        <v>352</v>
      </c>
      <c r="E446" s="129" t="s">
        <v>376</v>
      </c>
      <c r="F446" s="129" t="s">
        <v>799</v>
      </c>
      <c r="G446" s="130" t="n">
        <v>30</v>
      </c>
      <c r="H446" s="129" t="n">
        <v>2.59111</v>
      </c>
      <c r="I446" s="129" t="n">
        <v>11.41881</v>
      </c>
      <c r="J446" s="128" t="s">
        <v>40</v>
      </c>
    </row>
    <row r="447" customFormat="false" ht="14.25" hidden="true" customHeight="false" outlineLevel="0" collapsed="false">
      <c r="A447" s="128" t="s">
        <v>190</v>
      </c>
      <c r="B447" s="128" t="n">
        <v>130</v>
      </c>
      <c r="C447" s="129" t="s">
        <v>379</v>
      </c>
      <c r="D447" s="129" t="s">
        <v>352</v>
      </c>
      <c r="E447" s="129" t="s">
        <v>376</v>
      </c>
      <c r="F447" s="129" t="s">
        <v>800</v>
      </c>
      <c r="G447" s="130" t="n">
        <v>54</v>
      </c>
      <c r="H447" s="129" t="n">
        <v>3.07973</v>
      </c>
      <c r="I447" s="129" t="n">
        <v>10.881007</v>
      </c>
      <c r="J447" s="128" t="s">
        <v>40</v>
      </c>
    </row>
    <row r="448" customFormat="false" ht="14.25" hidden="true" customHeight="false" outlineLevel="0" collapsed="false">
      <c r="A448" s="128" t="s">
        <v>177</v>
      </c>
      <c r="B448" s="128" t="n">
        <v>133</v>
      </c>
      <c r="C448" s="129" t="s">
        <v>377</v>
      </c>
      <c r="D448" s="129" t="s">
        <v>352</v>
      </c>
      <c r="E448" s="129" t="s">
        <v>376</v>
      </c>
      <c r="F448" s="129" t="s">
        <v>801</v>
      </c>
      <c r="G448" s="130" t="n">
        <v>30</v>
      </c>
      <c r="H448" s="129" t="n">
        <v>2.97707</v>
      </c>
      <c r="I448" s="129" t="n">
        <v>11.33498</v>
      </c>
      <c r="J448" s="128" t="s">
        <v>40</v>
      </c>
    </row>
    <row r="449" customFormat="false" ht="14.25" hidden="true" customHeight="false" outlineLevel="0" collapsed="false">
      <c r="A449" s="128" t="s">
        <v>177</v>
      </c>
      <c r="B449" s="128" t="n">
        <v>136</v>
      </c>
      <c r="C449" s="129" t="s">
        <v>380</v>
      </c>
      <c r="D449" s="129" t="s">
        <v>352</v>
      </c>
      <c r="E449" s="129" t="s">
        <v>376</v>
      </c>
      <c r="F449" s="129" t="s">
        <v>802</v>
      </c>
      <c r="G449" s="130" t="n">
        <v>50</v>
      </c>
      <c r="H449" s="129" t="n">
        <v>3.06798</v>
      </c>
      <c r="I449" s="129" t="n">
        <v>11.50035</v>
      </c>
      <c r="J449" s="128" t="s">
        <v>40</v>
      </c>
    </row>
    <row r="450" customFormat="false" ht="14.25" hidden="true" customHeight="false" outlineLevel="0" collapsed="false">
      <c r="A450" s="128" t="s">
        <v>177</v>
      </c>
      <c r="B450" s="128" t="n">
        <v>141</v>
      </c>
      <c r="C450" s="129" t="s">
        <v>392</v>
      </c>
      <c r="D450" s="129" t="s">
        <v>352</v>
      </c>
      <c r="E450" s="129" t="s">
        <v>376</v>
      </c>
      <c r="F450" s="129" t="s">
        <v>802</v>
      </c>
      <c r="G450" s="130" t="n">
        <v>80</v>
      </c>
      <c r="H450" s="129" t="n">
        <v>3.08273</v>
      </c>
      <c r="I450" s="129" t="n">
        <v>11.23862</v>
      </c>
      <c r="J450" s="128" t="s">
        <v>40</v>
      </c>
    </row>
    <row r="451" customFormat="false" ht="14.25" hidden="true" customHeight="false" outlineLevel="0" collapsed="false">
      <c r="A451" s="128" t="s">
        <v>190</v>
      </c>
      <c r="B451" s="128" t="n">
        <v>124</v>
      </c>
      <c r="C451" s="129" t="s">
        <v>381</v>
      </c>
      <c r="D451" s="129" t="s">
        <v>352</v>
      </c>
      <c r="E451" s="129" t="s">
        <v>376</v>
      </c>
      <c r="F451" s="129" t="s">
        <v>317</v>
      </c>
      <c r="G451" s="130" t="n">
        <v>21.6</v>
      </c>
      <c r="H451" s="129" t="n">
        <v>3.06876</v>
      </c>
      <c r="I451" s="129" t="n">
        <v>11.53966</v>
      </c>
      <c r="J451" s="128" t="s">
        <v>40</v>
      </c>
    </row>
    <row r="452" customFormat="false" ht="14.25" hidden="true" customHeight="false" outlineLevel="0" collapsed="false">
      <c r="A452" s="128" t="s">
        <v>190</v>
      </c>
      <c r="B452" s="128" t="n">
        <v>133</v>
      </c>
      <c r="C452" s="129" t="s">
        <v>382</v>
      </c>
      <c r="D452" s="129" t="s">
        <v>352</v>
      </c>
      <c r="E452" s="129" t="s">
        <v>376</v>
      </c>
      <c r="F452" s="129" t="s">
        <v>317</v>
      </c>
      <c r="G452" s="130" t="n">
        <v>32.4</v>
      </c>
      <c r="H452" s="129" t="n">
        <v>3.147367</v>
      </c>
      <c r="I452" s="129" t="n">
        <v>11.637517</v>
      </c>
      <c r="J452" s="128" t="s">
        <v>40</v>
      </c>
    </row>
    <row r="453" customFormat="false" ht="14.25" hidden="true" customHeight="false" outlineLevel="0" collapsed="false">
      <c r="A453" s="128" t="s">
        <v>190</v>
      </c>
      <c r="B453" s="128" t="n">
        <v>123</v>
      </c>
      <c r="C453" s="129" t="s">
        <v>396</v>
      </c>
      <c r="D453" s="129" t="s">
        <v>352</v>
      </c>
      <c r="E453" s="129" t="s">
        <v>395</v>
      </c>
      <c r="F453" s="129" t="s">
        <v>804</v>
      </c>
      <c r="G453" s="130" t="n">
        <v>32.4</v>
      </c>
      <c r="H453" s="129" t="n">
        <v>3.294946</v>
      </c>
      <c r="I453" s="129" t="n">
        <v>10.481581</v>
      </c>
      <c r="J453" s="128" t="s">
        <v>40</v>
      </c>
    </row>
    <row r="454" customFormat="false" ht="14.25" hidden="true" customHeight="false" outlineLevel="0" collapsed="false">
      <c r="A454" s="128" t="s">
        <v>190</v>
      </c>
      <c r="B454" s="128" t="n">
        <v>128</v>
      </c>
      <c r="C454" s="129" t="s">
        <v>398</v>
      </c>
      <c r="D454" s="129" t="s">
        <v>352</v>
      </c>
      <c r="E454" s="129" t="s">
        <v>395</v>
      </c>
      <c r="F454" s="129" t="s">
        <v>804</v>
      </c>
      <c r="G454" s="130" t="n">
        <v>32.4</v>
      </c>
      <c r="H454" s="129" t="n">
        <v>3.074</v>
      </c>
      <c r="I454" s="129" t="n">
        <v>10.39109</v>
      </c>
      <c r="J454" s="128" t="s">
        <v>40</v>
      </c>
    </row>
    <row r="455" customFormat="false" ht="14.25" hidden="true" customHeight="false" outlineLevel="0" collapsed="false">
      <c r="A455" s="128" t="s">
        <v>190</v>
      </c>
      <c r="B455" s="128" t="n">
        <v>131</v>
      </c>
      <c r="C455" s="129" t="s">
        <v>399</v>
      </c>
      <c r="D455" s="129" t="s">
        <v>352</v>
      </c>
      <c r="E455" s="129" t="s">
        <v>395</v>
      </c>
      <c r="F455" s="129" t="s">
        <v>804</v>
      </c>
      <c r="G455" s="130" t="n">
        <v>32.4</v>
      </c>
      <c r="H455" s="129" t="n">
        <v>3.04238</v>
      </c>
      <c r="I455" s="129" t="n">
        <v>10.46409</v>
      </c>
      <c r="J455" s="128" t="s">
        <v>40</v>
      </c>
    </row>
    <row r="456" customFormat="false" ht="14.25" hidden="true" customHeight="false" outlineLevel="0" collapsed="false">
      <c r="A456" s="128" t="s">
        <v>190</v>
      </c>
      <c r="B456" s="128" t="n">
        <v>132</v>
      </c>
      <c r="C456" s="129" t="s">
        <v>400</v>
      </c>
      <c r="D456" s="129" t="s">
        <v>352</v>
      </c>
      <c r="E456" s="129" t="s">
        <v>395</v>
      </c>
      <c r="F456" s="129" t="s">
        <v>804</v>
      </c>
      <c r="G456" s="130" t="n">
        <v>54</v>
      </c>
      <c r="H456" s="129" t="n">
        <v>3.05546</v>
      </c>
      <c r="I456" s="129" t="n">
        <v>10.3083</v>
      </c>
      <c r="J456" s="128" t="s">
        <v>40</v>
      </c>
    </row>
    <row r="457" customFormat="false" ht="14.25" hidden="true" customHeight="false" outlineLevel="0" collapsed="false">
      <c r="A457" s="128" t="s">
        <v>190</v>
      </c>
      <c r="B457" s="128" t="n">
        <v>135</v>
      </c>
      <c r="C457" s="129" t="s">
        <v>402</v>
      </c>
      <c r="D457" s="129" t="s">
        <v>352</v>
      </c>
      <c r="E457" s="129" t="s">
        <v>395</v>
      </c>
      <c r="F457" s="129" t="s">
        <v>804</v>
      </c>
      <c r="G457" s="130" t="n">
        <v>32.4</v>
      </c>
      <c r="H457" s="129" t="n">
        <v>3.341665</v>
      </c>
      <c r="I457" s="129" t="n">
        <v>10.531251</v>
      </c>
      <c r="J457" s="128" t="s">
        <v>40</v>
      </c>
    </row>
    <row r="458" customFormat="false" ht="14.25" hidden="true" customHeight="false" outlineLevel="0" collapsed="false">
      <c r="A458" s="128" t="s">
        <v>190</v>
      </c>
      <c r="B458" s="128" t="n">
        <v>127</v>
      </c>
      <c r="C458" s="129" t="s">
        <v>397</v>
      </c>
      <c r="D458" s="129" t="s">
        <v>352</v>
      </c>
      <c r="E458" s="129" t="s">
        <v>395</v>
      </c>
      <c r="F458" s="129" t="s">
        <v>808</v>
      </c>
      <c r="G458" s="130" t="n">
        <v>81</v>
      </c>
      <c r="H458" s="129" t="n">
        <v>3.23652</v>
      </c>
      <c r="I458" s="129" t="n">
        <v>10.69411</v>
      </c>
      <c r="J458" s="128" t="s">
        <v>40</v>
      </c>
    </row>
    <row r="459" customFormat="false" ht="14.25" hidden="true" customHeight="false" outlineLevel="0" collapsed="false">
      <c r="A459" s="128" t="s">
        <v>190</v>
      </c>
      <c r="B459" s="128" t="n">
        <v>134</v>
      </c>
      <c r="C459" s="129" t="s">
        <v>401</v>
      </c>
      <c r="D459" s="129" t="s">
        <v>352</v>
      </c>
      <c r="E459" s="129" t="s">
        <v>395</v>
      </c>
      <c r="F459" s="129" t="s">
        <v>808</v>
      </c>
      <c r="G459" s="130" t="n">
        <v>81</v>
      </c>
      <c r="H459" s="129" t="n">
        <v>3.234905</v>
      </c>
      <c r="I459" s="129" t="n">
        <v>10.708181</v>
      </c>
      <c r="J459" s="128" t="s">
        <v>40</v>
      </c>
    </row>
    <row r="460" customFormat="false" ht="14.25" hidden="true" customHeight="false" outlineLevel="0" collapsed="false">
      <c r="A460" s="128" t="s">
        <v>175</v>
      </c>
      <c r="B460" s="128" t="n">
        <v>112</v>
      </c>
      <c r="C460" s="129" t="s">
        <v>411</v>
      </c>
      <c r="D460" s="129" t="s">
        <v>352</v>
      </c>
      <c r="E460" s="129" t="s">
        <v>403</v>
      </c>
      <c r="F460" s="129" t="s">
        <v>803</v>
      </c>
      <c r="G460" s="130" t="n">
        <v>32.4</v>
      </c>
      <c r="H460" s="129" t="n">
        <v>2.789171</v>
      </c>
      <c r="I460" s="129" t="n">
        <v>10.501285</v>
      </c>
      <c r="J460" s="128" t="s">
        <v>40</v>
      </c>
    </row>
    <row r="461" customFormat="false" ht="14.25" hidden="true" customHeight="false" outlineLevel="0" collapsed="false">
      <c r="A461" s="128" t="s">
        <v>175</v>
      </c>
      <c r="B461" s="128" t="n">
        <v>104</v>
      </c>
      <c r="C461" s="129" t="s">
        <v>404</v>
      </c>
      <c r="D461" s="129" t="s">
        <v>352</v>
      </c>
      <c r="E461" s="129" t="s">
        <v>403</v>
      </c>
      <c r="F461" s="129" t="s">
        <v>804</v>
      </c>
      <c r="G461" s="130" t="n">
        <v>81</v>
      </c>
      <c r="H461" s="129" t="n">
        <v>3.128241</v>
      </c>
      <c r="I461" s="129" t="n">
        <v>10.489442</v>
      </c>
      <c r="J461" s="128" t="s">
        <v>40</v>
      </c>
    </row>
    <row r="462" customFormat="false" ht="14.25" hidden="true" customHeight="false" outlineLevel="0" collapsed="false">
      <c r="A462" s="128" t="s">
        <v>175</v>
      </c>
      <c r="B462" s="128" t="n">
        <v>109</v>
      </c>
      <c r="C462" s="129" t="s">
        <v>409</v>
      </c>
      <c r="D462" s="129" t="s">
        <v>352</v>
      </c>
      <c r="E462" s="129" t="s">
        <v>403</v>
      </c>
      <c r="F462" s="129" t="s">
        <v>804</v>
      </c>
      <c r="G462" s="130" t="n">
        <v>32.4</v>
      </c>
      <c r="H462" s="129" t="n">
        <v>3.283898</v>
      </c>
      <c r="I462" s="129" t="n">
        <v>10.459377</v>
      </c>
      <c r="J462" s="128" t="s">
        <v>40</v>
      </c>
    </row>
    <row r="463" customFormat="false" ht="14.25" hidden="true" customHeight="false" outlineLevel="0" collapsed="false">
      <c r="A463" s="128" t="s">
        <v>177</v>
      </c>
      <c r="B463" s="128" t="n">
        <v>125</v>
      </c>
      <c r="C463" s="129" t="s">
        <v>410</v>
      </c>
      <c r="D463" s="129" t="s">
        <v>352</v>
      </c>
      <c r="E463" s="129" t="s">
        <v>403</v>
      </c>
      <c r="F463" s="129" t="s">
        <v>804</v>
      </c>
      <c r="G463" s="130" t="n">
        <v>15</v>
      </c>
      <c r="H463" s="129" t="n">
        <v>3.3579</v>
      </c>
      <c r="I463" s="129" t="n">
        <v>10.6056</v>
      </c>
      <c r="J463" s="128" t="s">
        <v>40</v>
      </c>
    </row>
    <row r="464" customFormat="false" ht="14.25" hidden="true" customHeight="false" outlineLevel="0" collapsed="false">
      <c r="A464" s="128" t="s">
        <v>177</v>
      </c>
      <c r="B464" s="128" t="n">
        <v>140</v>
      </c>
      <c r="C464" s="129" t="s">
        <v>412</v>
      </c>
      <c r="D464" s="129" t="s">
        <v>352</v>
      </c>
      <c r="E464" s="129" t="s">
        <v>403</v>
      </c>
      <c r="F464" s="129" t="s">
        <v>804</v>
      </c>
      <c r="G464" s="130" t="n">
        <v>50</v>
      </c>
      <c r="H464" s="129" t="n">
        <v>3.26551</v>
      </c>
      <c r="I464" s="129" t="n">
        <v>10.44075</v>
      </c>
      <c r="J464" s="128" t="s">
        <v>40</v>
      </c>
    </row>
    <row r="465" customFormat="false" ht="14.25" hidden="true" customHeight="false" outlineLevel="0" collapsed="false">
      <c r="A465" s="128" t="s">
        <v>175</v>
      </c>
      <c r="B465" s="128" t="n">
        <v>113</v>
      </c>
      <c r="C465" s="129" t="s">
        <v>413</v>
      </c>
      <c r="D465" s="129" t="s">
        <v>352</v>
      </c>
      <c r="E465" s="129" t="s">
        <v>403</v>
      </c>
      <c r="F465" s="129" t="s">
        <v>804</v>
      </c>
      <c r="G465" s="130" t="n">
        <v>54</v>
      </c>
      <c r="H465" s="129" t="n">
        <v>3.045135</v>
      </c>
      <c r="I465" s="129" t="n">
        <v>10.401179</v>
      </c>
      <c r="J465" s="128" t="s">
        <v>40</v>
      </c>
    </row>
    <row r="466" customFormat="false" ht="14.25" hidden="true" customHeight="false" outlineLevel="0" collapsed="false">
      <c r="A466" s="128" t="s">
        <v>175</v>
      </c>
      <c r="B466" s="128" t="n">
        <v>118</v>
      </c>
      <c r="C466" s="129" t="s">
        <v>406</v>
      </c>
      <c r="D466" s="129" t="s">
        <v>352</v>
      </c>
      <c r="E466" s="129" t="s">
        <v>403</v>
      </c>
      <c r="F466" s="129" t="s">
        <v>805</v>
      </c>
      <c r="G466" s="130" t="n">
        <v>32.4</v>
      </c>
      <c r="H466" s="129" t="n">
        <v>2.518401</v>
      </c>
      <c r="I466" s="129" t="n">
        <v>9.829308</v>
      </c>
      <c r="J466" s="128" t="s">
        <v>40</v>
      </c>
    </row>
    <row r="467" customFormat="false" ht="14.25" hidden="true" customHeight="false" outlineLevel="0" collapsed="false">
      <c r="A467" s="128" t="s">
        <v>175</v>
      </c>
      <c r="B467" s="128" t="n">
        <v>114</v>
      </c>
      <c r="C467" s="129" t="s">
        <v>405</v>
      </c>
      <c r="D467" s="129" t="s">
        <v>352</v>
      </c>
      <c r="E467" s="129" t="s">
        <v>403</v>
      </c>
      <c r="F467" s="129" t="s">
        <v>806</v>
      </c>
      <c r="G467" s="130" t="n">
        <v>32.4</v>
      </c>
      <c r="H467" s="129" t="n">
        <v>3.325067</v>
      </c>
      <c r="I467" s="129" t="n">
        <v>10.029735</v>
      </c>
      <c r="J467" s="128" t="s">
        <v>40</v>
      </c>
    </row>
    <row r="468" customFormat="false" ht="14.25" hidden="true" customHeight="false" outlineLevel="0" collapsed="false">
      <c r="A468" s="128" t="s">
        <v>175</v>
      </c>
      <c r="B468" s="128" t="n">
        <v>106</v>
      </c>
      <c r="C468" s="129" t="s">
        <v>407</v>
      </c>
      <c r="D468" s="129" t="s">
        <v>352</v>
      </c>
      <c r="E468" s="129" t="s">
        <v>403</v>
      </c>
      <c r="F468" s="129" t="s">
        <v>807</v>
      </c>
      <c r="G468" s="130" t="n">
        <v>21.6</v>
      </c>
      <c r="H468" s="129" t="n">
        <v>2.825134</v>
      </c>
      <c r="I468" s="129" t="n">
        <v>9.921794</v>
      </c>
      <c r="J468" s="128" t="s">
        <v>40</v>
      </c>
    </row>
    <row r="469" customFormat="false" ht="14.25" hidden="true" customHeight="false" outlineLevel="0" collapsed="false">
      <c r="A469" s="128" t="s">
        <v>175</v>
      </c>
      <c r="B469" s="128" t="n">
        <v>108</v>
      </c>
      <c r="C469" s="129" t="s">
        <v>408</v>
      </c>
      <c r="D469" s="129" t="s">
        <v>352</v>
      </c>
      <c r="E469" s="129" t="s">
        <v>403</v>
      </c>
      <c r="F469" s="129" t="s">
        <v>808</v>
      </c>
      <c r="G469" s="130" t="n">
        <v>54</v>
      </c>
      <c r="H469" s="129" t="n">
        <v>3.168302</v>
      </c>
      <c r="I469" s="129" t="n">
        <v>10.542266</v>
      </c>
      <c r="J469" s="128" t="s">
        <v>40</v>
      </c>
    </row>
    <row r="470" customFormat="false" ht="14.25" hidden="true" customHeight="false" outlineLevel="0" collapsed="false">
      <c r="A470" s="128" t="s">
        <v>190</v>
      </c>
      <c r="B470" s="128" t="n">
        <v>125</v>
      </c>
      <c r="C470" s="129" t="s">
        <v>415</v>
      </c>
      <c r="D470" s="129" t="s">
        <v>352</v>
      </c>
      <c r="E470" s="129" t="s">
        <v>414</v>
      </c>
      <c r="F470" s="129" t="s">
        <v>809</v>
      </c>
      <c r="G470" s="130" t="n">
        <v>183.6</v>
      </c>
      <c r="H470" s="129" t="n">
        <v>2.334223</v>
      </c>
      <c r="I470" s="129" t="n">
        <v>11.44365</v>
      </c>
      <c r="J470" s="128" t="s">
        <v>40</v>
      </c>
    </row>
    <row r="471" customFormat="false" ht="14.25" hidden="true" customHeight="false" outlineLevel="0" collapsed="false">
      <c r="A471" s="128" t="s">
        <v>190</v>
      </c>
      <c r="B471" s="128" t="n">
        <v>138</v>
      </c>
      <c r="C471" s="129" t="s">
        <v>417</v>
      </c>
      <c r="D471" s="129" t="s">
        <v>352</v>
      </c>
      <c r="E471" s="129" t="s">
        <v>414</v>
      </c>
      <c r="F471" s="129" t="s">
        <v>809</v>
      </c>
      <c r="G471" s="130" t="n">
        <v>32.4</v>
      </c>
      <c r="H471" s="129" t="n">
        <v>2.52595</v>
      </c>
      <c r="I471" s="129" t="n">
        <v>11.062133</v>
      </c>
      <c r="J471" s="128" t="s">
        <v>40</v>
      </c>
    </row>
    <row r="472" customFormat="false" ht="14.25" hidden="true" customHeight="false" outlineLevel="0" collapsed="false">
      <c r="A472" s="128" t="s">
        <v>175</v>
      </c>
      <c r="B472" s="128" t="n">
        <v>111</v>
      </c>
      <c r="C472" s="129" t="s">
        <v>418</v>
      </c>
      <c r="D472" s="129" t="s">
        <v>352</v>
      </c>
      <c r="E472" s="129" t="s">
        <v>414</v>
      </c>
      <c r="F472" s="129" t="s">
        <v>810</v>
      </c>
      <c r="G472" s="130" t="n">
        <v>32.4</v>
      </c>
      <c r="H472" s="129" t="n">
        <v>2.326441</v>
      </c>
      <c r="I472" s="129" t="n">
        <v>10.936231</v>
      </c>
      <c r="J472" s="128" t="s">
        <v>40</v>
      </c>
    </row>
    <row r="473" customFormat="false" ht="14.25" hidden="true" customHeight="false" outlineLevel="0" collapsed="false">
      <c r="A473" s="146" t="s">
        <v>175</v>
      </c>
      <c r="B473" s="146" t="n">
        <v>120</v>
      </c>
      <c r="C473" s="147" t="s">
        <v>416</v>
      </c>
      <c r="D473" s="147" t="s">
        <v>352</v>
      </c>
      <c r="E473" s="147" t="s">
        <v>414</v>
      </c>
      <c r="F473" s="147" t="s">
        <v>811</v>
      </c>
      <c r="G473" s="148" t="n">
        <v>54</v>
      </c>
      <c r="H473" s="147" t="n">
        <v>2.187265</v>
      </c>
      <c r="I473" s="147" t="n">
        <v>11.007553</v>
      </c>
      <c r="J473" s="146" t="s">
        <v>40</v>
      </c>
    </row>
    <row r="474" customFormat="false" ht="14.25" hidden="true" customHeight="false" outlineLevel="0" collapsed="false">
      <c r="A474" s="149" t="s">
        <v>175</v>
      </c>
      <c r="B474" s="149" t="n">
        <v>131</v>
      </c>
      <c r="C474" s="150" t="s">
        <v>510</v>
      </c>
      <c r="D474" s="150" t="s">
        <v>56</v>
      </c>
      <c r="E474" s="150" t="s">
        <v>509</v>
      </c>
      <c r="F474" s="150" t="s">
        <v>953</v>
      </c>
      <c r="G474" s="151" t="n">
        <v>54</v>
      </c>
      <c r="H474" s="150" t="n">
        <v>5.022197</v>
      </c>
      <c r="I474" s="150" t="n">
        <v>9.140804</v>
      </c>
      <c r="J474" s="149" t="s">
        <v>25</v>
      </c>
    </row>
    <row r="475" customFormat="false" ht="14.25" hidden="true" customHeight="false" outlineLevel="0" collapsed="false">
      <c r="A475" s="125" t="s">
        <v>175</v>
      </c>
      <c r="B475" s="125" t="n">
        <v>121</v>
      </c>
      <c r="C475" s="126" t="s">
        <v>651</v>
      </c>
      <c r="D475" s="126" t="s">
        <v>56</v>
      </c>
      <c r="E475" s="126" t="s">
        <v>649</v>
      </c>
      <c r="F475" s="126" t="s">
        <v>946</v>
      </c>
      <c r="G475" s="127" t="n">
        <v>32.4</v>
      </c>
      <c r="H475" s="126" t="n">
        <v>5.12146</v>
      </c>
      <c r="I475" s="126" t="n">
        <v>9.71145</v>
      </c>
      <c r="J475" s="125" t="s">
        <v>27</v>
      </c>
    </row>
    <row r="476" customFormat="false" ht="14.25" hidden="true" customHeight="false" outlineLevel="0" collapsed="false">
      <c r="A476" s="125" t="s">
        <v>177</v>
      </c>
      <c r="B476" s="125" t="n">
        <v>150</v>
      </c>
      <c r="C476" s="126" t="s">
        <v>654</v>
      </c>
      <c r="D476" s="126" t="s">
        <v>56</v>
      </c>
      <c r="E476" s="126" t="s">
        <v>649</v>
      </c>
      <c r="F476" s="126" t="s">
        <v>946</v>
      </c>
      <c r="G476" s="127" t="n">
        <v>50</v>
      </c>
      <c r="H476" s="126" t="n">
        <v>5.05839</v>
      </c>
      <c r="I476" s="126" t="n">
        <v>9.74623</v>
      </c>
      <c r="J476" s="125" t="s">
        <v>27</v>
      </c>
    </row>
    <row r="477" customFormat="false" ht="14.25" hidden="true" customHeight="false" outlineLevel="0" collapsed="false">
      <c r="A477" s="125" t="s">
        <v>177</v>
      </c>
      <c r="B477" s="125" t="n">
        <v>149</v>
      </c>
      <c r="C477" s="126" t="s">
        <v>655</v>
      </c>
      <c r="D477" s="126" t="s">
        <v>56</v>
      </c>
      <c r="E477" s="126" t="s">
        <v>649</v>
      </c>
      <c r="F477" s="126" t="s">
        <v>946</v>
      </c>
      <c r="G477" s="127" t="n">
        <v>50</v>
      </c>
      <c r="H477" s="126" t="n">
        <v>5.12119</v>
      </c>
      <c r="I477" s="126" t="n">
        <v>9.78199</v>
      </c>
      <c r="J477" s="125" t="s">
        <v>27</v>
      </c>
    </row>
    <row r="478" customFormat="false" ht="14.25" hidden="true" customHeight="false" outlineLevel="0" collapsed="false">
      <c r="A478" s="125" t="s">
        <v>177</v>
      </c>
      <c r="B478" s="125" t="n">
        <v>153</v>
      </c>
      <c r="C478" s="126" t="s">
        <v>659</v>
      </c>
      <c r="D478" s="126" t="s">
        <v>56</v>
      </c>
      <c r="E478" s="126" t="s">
        <v>649</v>
      </c>
      <c r="F478" s="126" t="s">
        <v>946</v>
      </c>
      <c r="G478" s="127" t="n">
        <v>80</v>
      </c>
      <c r="H478" s="126" t="n">
        <v>5.10085</v>
      </c>
      <c r="I478" s="126" t="n">
        <v>9.80076</v>
      </c>
      <c r="J478" s="125" t="s">
        <v>27</v>
      </c>
    </row>
    <row r="479" customFormat="false" ht="14.25" hidden="true" customHeight="false" outlineLevel="0" collapsed="false">
      <c r="A479" s="125" t="s">
        <v>175</v>
      </c>
      <c r="B479" s="125" t="n">
        <v>126</v>
      </c>
      <c r="C479" s="126" t="s">
        <v>650</v>
      </c>
      <c r="D479" s="126" t="s">
        <v>56</v>
      </c>
      <c r="E479" s="126" t="s">
        <v>649</v>
      </c>
      <c r="F479" s="126" t="s">
        <v>947</v>
      </c>
      <c r="G479" s="127" t="n">
        <v>54</v>
      </c>
      <c r="H479" s="126" t="n">
        <v>5.281051</v>
      </c>
      <c r="I479" s="126" t="n">
        <v>9.416928</v>
      </c>
      <c r="J479" s="125" t="s">
        <v>27</v>
      </c>
    </row>
    <row r="480" customFormat="false" ht="14.25" hidden="true" customHeight="false" outlineLevel="0" collapsed="false">
      <c r="A480" s="125" t="s">
        <v>175</v>
      </c>
      <c r="B480" s="125" t="n">
        <v>125</v>
      </c>
      <c r="C480" s="126" t="s">
        <v>652</v>
      </c>
      <c r="D480" s="126" t="s">
        <v>56</v>
      </c>
      <c r="E480" s="126" t="s">
        <v>649</v>
      </c>
      <c r="F480" s="126" t="s">
        <v>947</v>
      </c>
      <c r="G480" s="127" t="n">
        <v>32.4</v>
      </c>
      <c r="H480" s="126" t="n">
        <v>5.408999</v>
      </c>
      <c r="I480" s="126" t="n">
        <v>9.761387</v>
      </c>
      <c r="J480" s="125" t="s">
        <v>27</v>
      </c>
    </row>
    <row r="481" customFormat="false" ht="14.25" hidden="true" customHeight="false" outlineLevel="0" collapsed="false">
      <c r="A481" s="125" t="s">
        <v>177</v>
      </c>
      <c r="B481" s="125" t="n">
        <v>155</v>
      </c>
      <c r="C481" s="126" t="s">
        <v>656</v>
      </c>
      <c r="D481" s="126" t="s">
        <v>56</v>
      </c>
      <c r="E481" s="126" t="s">
        <v>649</v>
      </c>
      <c r="F481" s="126" t="s">
        <v>947</v>
      </c>
      <c r="G481" s="127" t="n">
        <v>80</v>
      </c>
      <c r="H481" s="126" t="n">
        <v>5.33882</v>
      </c>
      <c r="I481" s="126" t="n">
        <v>9.442213</v>
      </c>
      <c r="J481" s="125" t="s">
        <v>27</v>
      </c>
    </row>
    <row r="482" customFormat="false" ht="14.25" hidden="true" customHeight="false" outlineLevel="0" collapsed="false">
      <c r="A482" s="125" t="s">
        <v>177</v>
      </c>
      <c r="B482" s="125" t="n">
        <v>156</v>
      </c>
      <c r="C482" s="126" t="s">
        <v>657</v>
      </c>
      <c r="D482" s="126" t="s">
        <v>56</v>
      </c>
      <c r="E482" s="126" t="s">
        <v>649</v>
      </c>
      <c r="F482" s="126" t="s">
        <v>947</v>
      </c>
      <c r="G482" s="127" t="n">
        <v>200</v>
      </c>
      <c r="H482" s="126" t="n">
        <v>5.33518</v>
      </c>
      <c r="I482" s="126" t="n">
        <v>9.42585</v>
      </c>
      <c r="J482" s="125" t="s">
        <v>27</v>
      </c>
    </row>
    <row r="483" customFormat="false" ht="14.25" hidden="true" customHeight="false" outlineLevel="0" collapsed="false">
      <c r="A483" s="125" t="s">
        <v>175</v>
      </c>
      <c r="B483" s="125" t="n">
        <v>124</v>
      </c>
      <c r="C483" s="126" t="s">
        <v>658</v>
      </c>
      <c r="D483" s="126" t="s">
        <v>56</v>
      </c>
      <c r="E483" s="126" t="s">
        <v>649</v>
      </c>
      <c r="F483" s="126" t="s">
        <v>947</v>
      </c>
      <c r="G483" s="127" t="n">
        <v>54</v>
      </c>
      <c r="H483" s="126" t="n">
        <v>5.251412</v>
      </c>
      <c r="I483" s="126" t="n">
        <v>9.571477</v>
      </c>
      <c r="J483" s="125" t="s">
        <v>27</v>
      </c>
    </row>
    <row r="484" customFormat="false" ht="14.25" hidden="true" customHeight="false" outlineLevel="0" collapsed="false">
      <c r="A484" s="125" t="s">
        <v>175</v>
      </c>
      <c r="B484" s="125" t="n">
        <v>136</v>
      </c>
      <c r="C484" s="126" t="s">
        <v>660</v>
      </c>
      <c r="D484" s="126" t="s">
        <v>56</v>
      </c>
      <c r="E484" s="126" t="s">
        <v>649</v>
      </c>
      <c r="F484" s="126" t="s">
        <v>947</v>
      </c>
      <c r="G484" s="127" t="n">
        <v>54</v>
      </c>
      <c r="H484" s="126" t="n">
        <v>5.385167</v>
      </c>
      <c r="I484" s="126" t="n">
        <v>9.87445</v>
      </c>
      <c r="J484" s="125" t="s">
        <v>27</v>
      </c>
    </row>
    <row r="485" customFormat="false" ht="14.25" hidden="true" customHeight="false" outlineLevel="0" collapsed="false">
      <c r="A485" s="125" t="s">
        <v>177</v>
      </c>
      <c r="B485" s="125" t="n">
        <v>154</v>
      </c>
      <c r="C485" s="126" t="s">
        <v>653</v>
      </c>
      <c r="D485" s="126" t="s">
        <v>56</v>
      </c>
      <c r="E485" s="126" t="s">
        <v>649</v>
      </c>
      <c r="F485" s="126" t="s">
        <v>948</v>
      </c>
      <c r="G485" s="127" t="n">
        <v>80</v>
      </c>
      <c r="H485" s="126" t="n">
        <v>4.6334</v>
      </c>
      <c r="I485" s="126" t="n">
        <v>9.567666667</v>
      </c>
      <c r="J485" s="125" t="s">
        <v>27</v>
      </c>
    </row>
    <row r="486" customFormat="false" ht="14.25" hidden="true" customHeight="false" outlineLevel="0" collapsed="false">
      <c r="A486" s="137" t="s">
        <v>175</v>
      </c>
      <c r="B486" s="137" t="n">
        <v>135</v>
      </c>
      <c r="C486" s="138" t="s">
        <v>512</v>
      </c>
      <c r="D486" s="138" t="s">
        <v>56</v>
      </c>
      <c r="E486" s="138" t="s">
        <v>511</v>
      </c>
      <c r="F486" s="138" t="s">
        <v>958</v>
      </c>
      <c r="G486" s="139" t="n">
        <v>32.4</v>
      </c>
      <c r="H486" s="138" t="n">
        <v>5.392137</v>
      </c>
      <c r="I486" s="138" t="n">
        <v>9.810645</v>
      </c>
      <c r="J486" s="137" t="s">
        <v>25</v>
      </c>
    </row>
    <row r="487" customFormat="false" ht="14.25" hidden="true" customHeight="false" outlineLevel="0" collapsed="false">
      <c r="A487" s="137" t="s">
        <v>177</v>
      </c>
      <c r="B487" s="137" t="n">
        <v>151</v>
      </c>
      <c r="C487" s="138" t="s">
        <v>514</v>
      </c>
      <c r="D487" s="138" t="s">
        <v>56</v>
      </c>
      <c r="E487" s="138" t="s">
        <v>513</v>
      </c>
      <c r="F487" s="138" t="s">
        <v>954</v>
      </c>
      <c r="G487" s="139" t="n">
        <v>80</v>
      </c>
      <c r="H487" s="138" t="n">
        <v>5.9365</v>
      </c>
      <c r="I487" s="138" t="n">
        <v>9.24925</v>
      </c>
      <c r="J487" s="137" t="s">
        <v>25</v>
      </c>
    </row>
    <row r="488" customFormat="false" ht="14.25" hidden="true" customHeight="false" outlineLevel="0" collapsed="false">
      <c r="A488" s="137" t="s">
        <v>175</v>
      </c>
      <c r="B488" s="137" t="n">
        <v>134</v>
      </c>
      <c r="C488" s="138" t="s">
        <v>515</v>
      </c>
      <c r="D488" s="138" t="s">
        <v>56</v>
      </c>
      <c r="E488" s="138" t="s">
        <v>513</v>
      </c>
      <c r="F488" s="138" t="s">
        <v>954</v>
      </c>
      <c r="G488" s="139" t="n">
        <v>32.4</v>
      </c>
      <c r="H488" s="138" t="n">
        <v>6.42552</v>
      </c>
      <c r="I488" s="138" t="n">
        <v>9.697201</v>
      </c>
      <c r="J488" s="137" t="s">
        <v>25</v>
      </c>
    </row>
    <row r="489" customFormat="false" ht="14.25" hidden="true" customHeight="false" outlineLevel="0" collapsed="false">
      <c r="A489" s="137" t="s">
        <v>177</v>
      </c>
      <c r="B489" s="137" t="n">
        <v>152</v>
      </c>
      <c r="C489" s="138" t="s">
        <v>517</v>
      </c>
      <c r="D489" s="138" t="s">
        <v>56</v>
      </c>
      <c r="E489" s="138" t="s">
        <v>513</v>
      </c>
      <c r="F489" s="138" t="s">
        <v>954</v>
      </c>
      <c r="G489" s="139" t="n">
        <v>80</v>
      </c>
      <c r="H489" s="138" t="n">
        <v>5.96678</v>
      </c>
      <c r="I489" s="138" t="n">
        <v>9.33749</v>
      </c>
      <c r="J489" s="137" t="s">
        <v>25</v>
      </c>
    </row>
    <row r="490" customFormat="false" ht="14.25" hidden="true" customHeight="false" outlineLevel="0" collapsed="false">
      <c r="A490" s="137" t="s">
        <v>175</v>
      </c>
      <c r="B490" s="137" t="n">
        <v>127</v>
      </c>
      <c r="C490" s="138" t="s">
        <v>516</v>
      </c>
      <c r="D490" s="138" t="s">
        <v>56</v>
      </c>
      <c r="E490" s="138" t="s">
        <v>513</v>
      </c>
      <c r="F490" s="138" t="s">
        <v>955</v>
      </c>
      <c r="G490" s="139" t="n">
        <v>32.4</v>
      </c>
      <c r="H490" s="138" t="n">
        <v>5.62907</v>
      </c>
      <c r="I490" s="138" t="n">
        <v>9.78579</v>
      </c>
      <c r="J490" s="137" t="s">
        <v>25</v>
      </c>
    </row>
    <row r="491" customFormat="false" ht="14.25" hidden="true" customHeight="false" outlineLevel="0" collapsed="false">
      <c r="A491" s="137" t="s">
        <v>175</v>
      </c>
      <c r="B491" s="137" t="n">
        <v>133</v>
      </c>
      <c r="C491" s="138" t="s">
        <v>519</v>
      </c>
      <c r="D491" s="138" t="s">
        <v>56</v>
      </c>
      <c r="E491" s="138" t="s">
        <v>518</v>
      </c>
      <c r="F491" s="138" t="s">
        <v>956</v>
      </c>
      <c r="G491" s="139" t="n">
        <v>54</v>
      </c>
      <c r="H491" s="138" t="n">
        <v>5.0477</v>
      </c>
      <c r="I491" s="138" t="n">
        <v>9.33695</v>
      </c>
      <c r="J491" s="137" t="s">
        <v>25</v>
      </c>
    </row>
    <row r="492" customFormat="false" ht="14.25" hidden="true" customHeight="false" outlineLevel="0" collapsed="false">
      <c r="A492" s="137" t="s">
        <v>175</v>
      </c>
      <c r="B492" s="137" t="n">
        <v>138</v>
      </c>
      <c r="C492" s="138" t="s">
        <v>520</v>
      </c>
      <c r="D492" s="138" t="s">
        <v>56</v>
      </c>
      <c r="E492" s="138" t="s">
        <v>518</v>
      </c>
      <c r="F492" s="138" t="s">
        <v>957</v>
      </c>
      <c r="G492" s="139" t="n">
        <v>81</v>
      </c>
      <c r="H492" s="138" t="n">
        <v>4.62781</v>
      </c>
      <c r="I492" s="138" t="n">
        <v>9.334345</v>
      </c>
      <c r="J492" s="137" t="s">
        <v>25</v>
      </c>
    </row>
    <row r="493" customFormat="false" ht="14.25" hidden="true" customHeight="false" outlineLevel="0" collapsed="false">
      <c r="A493" s="137" t="s">
        <v>175</v>
      </c>
      <c r="B493" s="137" t="n">
        <v>123</v>
      </c>
      <c r="C493" s="138" t="s">
        <v>523</v>
      </c>
      <c r="D493" s="138" t="s">
        <v>56</v>
      </c>
      <c r="E493" s="138" t="s">
        <v>521</v>
      </c>
      <c r="F493" s="138" t="s">
        <v>949</v>
      </c>
      <c r="G493" s="139" t="n">
        <v>81</v>
      </c>
      <c r="H493" s="138" t="n">
        <v>4.42652</v>
      </c>
      <c r="I493" s="138" t="n">
        <v>8.97187</v>
      </c>
      <c r="J493" s="137" t="s">
        <v>25</v>
      </c>
    </row>
    <row r="494" customFormat="false" ht="14.25" hidden="true" customHeight="false" outlineLevel="0" collapsed="false">
      <c r="A494" s="137" t="s">
        <v>175</v>
      </c>
      <c r="B494" s="137" t="n">
        <v>129</v>
      </c>
      <c r="C494" s="138" t="s">
        <v>522</v>
      </c>
      <c r="D494" s="138" t="s">
        <v>56</v>
      </c>
      <c r="E494" s="138" t="s">
        <v>521</v>
      </c>
      <c r="F494" s="138" t="s">
        <v>950</v>
      </c>
      <c r="G494" s="139" t="n">
        <v>81</v>
      </c>
      <c r="H494" s="138" t="n">
        <v>4.59871</v>
      </c>
      <c r="I494" s="138" t="n">
        <v>9.099872</v>
      </c>
      <c r="J494" s="137" t="s">
        <v>25</v>
      </c>
    </row>
    <row r="495" customFormat="false" ht="14.25" hidden="true" customHeight="false" outlineLevel="0" collapsed="false">
      <c r="A495" s="137" t="s">
        <v>175</v>
      </c>
      <c r="B495" s="137" t="n">
        <v>122</v>
      </c>
      <c r="C495" s="138" t="s">
        <v>526</v>
      </c>
      <c r="D495" s="138" t="s">
        <v>56</v>
      </c>
      <c r="E495" s="138" t="s">
        <v>521</v>
      </c>
      <c r="F495" s="138" t="s">
        <v>950</v>
      </c>
      <c r="G495" s="139" t="n">
        <v>32.4</v>
      </c>
      <c r="H495" s="138" t="n">
        <v>4.80613</v>
      </c>
      <c r="I495" s="138" t="n">
        <v>8.90978</v>
      </c>
      <c r="J495" s="137" t="s">
        <v>25</v>
      </c>
    </row>
    <row r="496" customFormat="false" ht="14.25" hidden="true" customHeight="false" outlineLevel="0" collapsed="false">
      <c r="A496" s="137" t="s">
        <v>175</v>
      </c>
      <c r="B496" s="137" t="n">
        <v>130</v>
      </c>
      <c r="C496" s="138" t="s">
        <v>528</v>
      </c>
      <c r="D496" s="138" t="s">
        <v>56</v>
      </c>
      <c r="E496" s="138" t="s">
        <v>521</v>
      </c>
      <c r="F496" s="138" t="s">
        <v>950</v>
      </c>
      <c r="G496" s="139" t="n">
        <v>183.6</v>
      </c>
      <c r="H496" s="138" t="n">
        <v>4.586561</v>
      </c>
      <c r="I496" s="138" t="n">
        <v>9.041601</v>
      </c>
      <c r="J496" s="137" t="s">
        <v>25</v>
      </c>
    </row>
    <row r="497" customFormat="false" ht="14.25" hidden="true" customHeight="false" outlineLevel="0" collapsed="false">
      <c r="A497" s="137" t="s">
        <v>175</v>
      </c>
      <c r="B497" s="137" t="n">
        <v>139</v>
      </c>
      <c r="C497" s="138" t="s">
        <v>527</v>
      </c>
      <c r="D497" s="138" t="s">
        <v>56</v>
      </c>
      <c r="E497" s="138" t="s">
        <v>521</v>
      </c>
      <c r="F497" s="138" t="s">
        <v>951</v>
      </c>
      <c r="G497" s="139" t="n">
        <v>54</v>
      </c>
      <c r="H497" s="138" t="n">
        <v>4.777497</v>
      </c>
      <c r="I497" s="138" t="n">
        <v>8.677749</v>
      </c>
      <c r="J497" s="137" t="s">
        <v>25</v>
      </c>
    </row>
    <row r="498" customFormat="false" ht="14.25" hidden="true" customHeight="false" outlineLevel="0" collapsed="false">
      <c r="A498" s="137" t="s">
        <v>175</v>
      </c>
      <c r="B498" s="137" t="n">
        <v>128</v>
      </c>
      <c r="C498" s="138" t="s">
        <v>529</v>
      </c>
      <c r="D498" s="138" t="s">
        <v>56</v>
      </c>
      <c r="E498" s="138" t="s">
        <v>521</v>
      </c>
      <c r="F498" s="138" t="s">
        <v>952</v>
      </c>
      <c r="G498" s="139" t="n">
        <v>32.4</v>
      </c>
      <c r="H498" s="138" t="n">
        <v>5.069122</v>
      </c>
      <c r="I498" s="138" t="n">
        <v>9.001071</v>
      </c>
      <c r="J498" s="137" t="s">
        <v>25</v>
      </c>
    </row>
    <row r="499" customFormat="false" ht="14.25" hidden="true" customHeight="false" outlineLevel="0" collapsed="false">
      <c r="A499" s="137" t="s">
        <v>175</v>
      </c>
      <c r="B499" s="137" t="n">
        <v>137</v>
      </c>
      <c r="C499" s="138" t="s">
        <v>524</v>
      </c>
      <c r="D499" s="138" t="s">
        <v>56</v>
      </c>
      <c r="E499" s="138" t="s">
        <v>521</v>
      </c>
      <c r="F499" s="138" t="s">
        <v>953</v>
      </c>
      <c r="G499" s="139" t="n">
        <v>32.4</v>
      </c>
      <c r="H499" s="138" t="n">
        <v>5.055672</v>
      </c>
      <c r="I499" s="138" t="n">
        <v>9.080886</v>
      </c>
      <c r="J499" s="137" t="s">
        <v>25</v>
      </c>
    </row>
    <row r="500" customFormat="false" ht="14.25" hidden="true" customHeight="false" outlineLevel="0" collapsed="false">
      <c r="A500" s="137" t="s">
        <v>175</v>
      </c>
      <c r="B500" s="137" t="n">
        <v>132</v>
      </c>
      <c r="C500" s="138" t="s">
        <v>525</v>
      </c>
      <c r="D500" s="138" t="s">
        <v>56</v>
      </c>
      <c r="E500" s="138" t="s">
        <v>521</v>
      </c>
      <c r="F500" s="138" t="s">
        <v>953</v>
      </c>
      <c r="G500" s="139" t="n">
        <v>32.4</v>
      </c>
      <c r="H500" s="138" t="n">
        <v>5.0478</v>
      </c>
      <c r="I500" s="138" t="n">
        <v>9.111189</v>
      </c>
      <c r="J500" s="137"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9"/>
    <pageSetUpPr fitToPage="true"/>
  </sheetPr>
  <dimension ref="B1:A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8.71484375" defaultRowHeight="14.25" zeroHeight="false" outlineLevelRow="0" outlineLevelCol="0"/>
  <cols>
    <col collapsed="false" customWidth="true" hidden="false" outlineLevel="0" max="32" min="1" style="0" width="4.14"/>
  </cols>
  <sheetData>
    <row r="1" customFormat="false" ht="18.75" hidden="false" customHeight="true" outlineLevel="0" collapsed="false">
      <c r="B1" s="152" t="s">
        <v>962</v>
      </c>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row>
    <row r="2" customFormat="false" ht="14.25" hidden="false" customHeight="false" outlineLevel="0" collapsed="false">
      <c r="B2" s="153" t="s">
        <v>963</v>
      </c>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row>
    <row r="3" customFormat="false" ht="15" hidden="false" customHeight="true" outlineLevel="0" collapsed="false"/>
    <row r="4" customFormat="false" ht="18" hidden="false" customHeight="true" outlineLevel="0" collapsed="false">
      <c r="N4" s="154" t="s">
        <v>964</v>
      </c>
      <c r="O4" s="154"/>
      <c r="P4" s="154"/>
      <c r="Q4" s="154"/>
      <c r="R4" s="154"/>
      <c r="S4" s="154"/>
    </row>
    <row r="5" customFormat="false" ht="27.75" hidden="false" customHeight="true" outlineLevel="0" collapsed="false">
      <c r="N5" s="154"/>
      <c r="O5" s="154"/>
      <c r="P5" s="154"/>
      <c r="Q5" s="154"/>
      <c r="R5" s="154"/>
      <c r="S5" s="154"/>
    </row>
    <row r="6" customFormat="false" ht="42" hidden="false" customHeight="true" outlineLevel="0" collapsed="false">
      <c r="C6" s="155"/>
      <c r="J6" s="155"/>
      <c r="N6" s="156" t="s">
        <v>965</v>
      </c>
      <c r="O6" s="156"/>
      <c r="P6" s="156"/>
      <c r="Q6" s="156"/>
      <c r="R6" s="156"/>
      <c r="S6" s="156"/>
    </row>
    <row r="7" customFormat="false" ht="18" hidden="false" customHeight="true" outlineLevel="0" collapsed="false">
      <c r="C7" s="157"/>
      <c r="D7" s="158"/>
      <c r="E7" s="158"/>
      <c r="F7" s="158"/>
      <c r="G7" s="158"/>
      <c r="H7" s="158"/>
      <c r="I7" s="158"/>
      <c r="J7" s="157"/>
      <c r="K7" s="158"/>
      <c r="L7" s="158"/>
      <c r="M7" s="158"/>
      <c r="N7" s="158"/>
      <c r="O7" s="158"/>
      <c r="P7" s="158"/>
      <c r="Q7" s="157"/>
      <c r="R7" s="158"/>
      <c r="S7" s="158"/>
      <c r="T7" s="158"/>
      <c r="U7" s="158"/>
      <c r="V7" s="158"/>
      <c r="W7" s="158"/>
      <c r="AC7" s="157"/>
    </row>
    <row r="8" customFormat="false" ht="18" hidden="false" customHeight="true" outlineLevel="0" collapsed="false">
      <c r="B8" s="159" t="s">
        <v>966</v>
      </c>
      <c r="C8" s="159"/>
      <c r="D8" s="159"/>
      <c r="E8" s="159"/>
      <c r="I8" s="159" t="s">
        <v>967</v>
      </c>
      <c r="J8" s="159"/>
      <c r="K8" s="159"/>
      <c r="L8" s="159"/>
      <c r="P8" s="159" t="s">
        <v>968</v>
      </c>
      <c r="Q8" s="159"/>
      <c r="R8" s="159"/>
      <c r="S8" s="159"/>
      <c r="AA8" s="159" t="s">
        <v>969</v>
      </c>
      <c r="AB8" s="159"/>
      <c r="AC8" s="159"/>
      <c r="AD8" s="159"/>
    </row>
    <row r="9" customFormat="false" ht="18" hidden="false" customHeight="true" outlineLevel="0" collapsed="false">
      <c r="B9" s="159"/>
      <c r="C9" s="159"/>
      <c r="D9" s="159"/>
      <c r="E9" s="159"/>
      <c r="I9" s="159"/>
      <c r="J9" s="159"/>
      <c r="K9" s="159"/>
      <c r="L9" s="159"/>
      <c r="P9" s="159"/>
      <c r="Q9" s="159"/>
      <c r="R9" s="159"/>
      <c r="S9" s="159"/>
      <c r="AA9" s="159"/>
      <c r="AB9" s="159"/>
      <c r="AC9" s="159"/>
      <c r="AD9" s="159"/>
    </row>
    <row r="10" customFormat="false" ht="18" hidden="false" customHeight="true" outlineLevel="0" collapsed="false">
      <c r="B10" s="160" t="s">
        <v>24</v>
      </c>
      <c r="C10" s="160"/>
      <c r="D10" s="160"/>
      <c r="E10" s="160"/>
      <c r="I10" s="160" t="s">
        <v>970</v>
      </c>
      <c r="J10" s="160"/>
      <c r="K10" s="160"/>
      <c r="L10" s="160"/>
      <c r="P10" s="160" t="s">
        <v>31</v>
      </c>
      <c r="Q10" s="160"/>
      <c r="R10" s="160"/>
      <c r="S10" s="160"/>
      <c r="AA10" s="160" t="s">
        <v>269</v>
      </c>
      <c r="AB10" s="160"/>
      <c r="AC10" s="160"/>
      <c r="AD10" s="160"/>
    </row>
    <row r="11" customFormat="false" ht="18" hidden="false" customHeight="true" outlineLevel="0" collapsed="false">
      <c r="J11" s="157"/>
      <c r="O11" s="157"/>
      <c r="P11" s="158"/>
      <c r="Q11" s="158"/>
      <c r="R11" s="158"/>
      <c r="S11" s="158"/>
      <c r="T11" s="157"/>
      <c r="X11" s="158"/>
      <c r="Y11" s="158"/>
      <c r="Z11" s="158"/>
      <c r="AA11" s="158"/>
      <c r="AB11" s="158"/>
      <c r="AC11" s="157"/>
    </row>
    <row r="12" customFormat="false" ht="18" hidden="false" customHeight="true" outlineLevel="0" collapsed="false">
      <c r="I12" s="161" t="s">
        <v>971</v>
      </c>
      <c r="J12" s="161"/>
      <c r="K12" s="161"/>
      <c r="L12" s="161"/>
      <c r="N12" s="161" t="s">
        <v>972</v>
      </c>
      <c r="O12" s="161"/>
      <c r="P12" s="161"/>
      <c r="Q12" s="161"/>
      <c r="S12" s="161" t="s">
        <v>973</v>
      </c>
      <c r="T12" s="161"/>
      <c r="U12" s="161"/>
      <c r="V12" s="161"/>
      <c r="W12" s="161" t="s">
        <v>974</v>
      </c>
      <c r="X12" s="161"/>
      <c r="Y12" s="161"/>
      <c r="Z12" s="161"/>
      <c r="AB12" s="161" t="s">
        <v>975</v>
      </c>
      <c r="AC12" s="161"/>
      <c r="AD12" s="161"/>
      <c r="AE12" s="161"/>
    </row>
    <row r="13" customFormat="false" ht="18" hidden="false" customHeight="true" outlineLevel="0" collapsed="false">
      <c r="I13" s="161"/>
      <c r="J13" s="161"/>
      <c r="K13" s="161"/>
      <c r="L13" s="161"/>
      <c r="N13" s="161"/>
      <c r="O13" s="161"/>
      <c r="P13" s="161"/>
      <c r="Q13" s="161"/>
      <c r="S13" s="161"/>
      <c r="T13" s="161"/>
      <c r="U13" s="161"/>
      <c r="V13" s="161"/>
      <c r="W13" s="161"/>
      <c r="X13" s="161"/>
      <c r="Y13" s="161"/>
      <c r="Z13" s="161"/>
      <c r="AB13" s="161"/>
      <c r="AC13" s="161"/>
      <c r="AD13" s="161"/>
      <c r="AE13" s="161"/>
    </row>
    <row r="14" customFormat="false" ht="48.75" hidden="false" customHeight="true" outlineLevel="0" collapsed="false">
      <c r="I14" s="162" t="s">
        <v>976</v>
      </c>
      <c r="J14" s="162"/>
      <c r="K14" s="162"/>
      <c r="L14" s="162"/>
      <c r="N14" s="162" t="s">
        <v>33</v>
      </c>
      <c r="O14" s="162"/>
      <c r="P14" s="162"/>
      <c r="Q14" s="162"/>
      <c r="S14" s="162" t="s">
        <v>35</v>
      </c>
      <c r="T14" s="162"/>
      <c r="U14" s="162"/>
      <c r="V14" s="162"/>
      <c r="W14" s="162" t="s">
        <v>977</v>
      </c>
      <c r="X14" s="162"/>
      <c r="Y14" s="162"/>
      <c r="Z14" s="162"/>
      <c r="AB14" s="162" t="s">
        <v>978</v>
      </c>
      <c r="AC14" s="162"/>
      <c r="AD14" s="162"/>
      <c r="AE14" s="162"/>
    </row>
    <row r="15" customFormat="false" ht="18" hidden="false" customHeight="true" outlineLevel="0" collapsed="false"/>
    <row r="17" customFormat="false" ht="14.25" hidden="false" customHeight="false" outlineLevel="0" collapsed="false">
      <c r="B17" s="163" t="s">
        <v>979</v>
      </c>
    </row>
    <row r="18" customFormat="false" ht="14.25" hidden="false" customHeight="false" outlineLevel="0" collapsed="false">
      <c r="B18" s="164"/>
      <c r="C18" s="165" t="s">
        <v>980</v>
      </c>
    </row>
    <row r="19" customFormat="false" ht="14.25" hidden="false" customHeight="false" outlineLevel="0" collapsed="false">
      <c r="B19" s="166"/>
      <c r="C19" s="165" t="s">
        <v>981</v>
      </c>
    </row>
    <row r="20" customFormat="false" ht="14.25" hidden="false" customHeight="false" outlineLevel="0" collapsed="false">
      <c r="B20" s="167"/>
      <c r="C20" s="165" t="s">
        <v>982</v>
      </c>
    </row>
    <row r="22" customFormat="false" ht="39.75" hidden="false" customHeight="true" outlineLevel="0" collapsed="false">
      <c r="B22" s="98" t="s">
        <v>983</v>
      </c>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row>
  </sheetData>
  <mergeCells count="23">
    <mergeCell ref="B1:AE1"/>
    <mergeCell ref="B2:AE2"/>
    <mergeCell ref="N4:S5"/>
    <mergeCell ref="N6:S6"/>
    <mergeCell ref="B8:E9"/>
    <mergeCell ref="I8:L9"/>
    <mergeCell ref="P8:S9"/>
    <mergeCell ref="AA8:AD9"/>
    <mergeCell ref="B10:E10"/>
    <mergeCell ref="I10:L10"/>
    <mergeCell ref="P10:S10"/>
    <mergeCell ref="AA10:AD10"/>
    <mergeCell ref="I12:L13"/>
    <mergeCell ref="N12:Q13"/>
    <mergeCell ref="S12:V13"/>
    <mergeCell ref="W12:Z13"/>
    <mergeCell ref="AB12:AE13"/>
    <mergeCell ref="I14:L14"/>
    <mergeCell ref="N14:Q14"/>
    <mergeCell ref="S14:V14"/>
    <mergeCell ref="W14:Z14"/>
    <mergeCell ref="AB14:AE14"/>
    <mergeCell ref="B22:AE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99"/>
    <pageSetUpPr fitToPage="true"/>
  </sheetPr>
  <dimension ref="A1:I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5" activeCellId="0" sqref="A15"/>
    </sheetView>
  </sheetViews>
  <sheetFormatPr defaultColWidth="9.00390625" defaultRowHeight="14.25" zeroHeight="false" outlineLevelRow="0" outlineLevelCol="0"/>
  <cols>
    <col collapsed="false" customWidth="true" hidden="false" outlineLevel="0" max="1" min="1" style="0" width="32.42"/>
    <col collapsed="false" customWidth="true" hidden="false" outlineLevel="0" max="3" min="3" style="0" width="14"/>
    <col collapsed="false" customWidth="true" hidden="false" outlineLevel="0" max="4" min="4" style="0" width="30"/>
    <col collapsed="false" customWidth="true" hidden="false" outlineLevel="0" max="5" min="5" style="0" width="26"/>
    <col collapsed="false" customWidth="true" hidden="false" outlineLevel="0" max="6" min="6" style="0" width="24.57"/>
    <col collapsed="false" customWidth="true" hidden="true" outlineLevel="0" max="7" min="7" style="0" width="22"/>
    <col collapsed="false" customWidth="true" hidden="true" outlineLevel="0" max="8" min="8" style="0" width="18"/>
    <col collapsed="false" customWidth="true" hidden="true" outlineLevel="0" max="9" min="9" style="0" width="10"/>
  </cols>
  <sheetData>
    <row r="1" customFormat="false" ht="18" hidden="false" customHeight="true" outlineLevel="0" collapsed="false">
      <c r="A1" s="168" t="s">
        <v>984</v>
      </c>
      <c r="B1" s="168"/>
      <c r="C1" s="168"/>
      <c r="D1" s="168"/>
      <c r="E1" s="168"/>
      <c r="F1" s="168"/>
    </row>
    <row r="2" customFormat="false" ht="14.25" hidden="false" customHeight="false" outlineLevel="0" collapsed="false">
      <c r="A2" s="169" t="s">
        <v>985</v>
      </c>
      <c r="B2" s="169"/>
      <c r="C2" s="169"/>
      <c r="D2" s="169"/>
      <c r="E2" s="169"/>
      <c r="F2" s="169"/>
    </row>
    <row r="4" customFormat="false" ht="14.25" hidden="false" customHeight="false" outlineLevel="0" collapsed="false">
      <c r="A4" s="170" t="s">
        <v>14</v>
      </c>
      <c r="B4" s="170" t="s">
        <v>986</v>
      </c>
      <c r="C4" s="170" t="s">
        <v>987</v>
      </c>
      <c r="D4" s="170" t="s">
        <v>988</v>
      </c>
      <c r="E4" s="170" t="s">
        <v>989</v>
      </c>
      <c r="F4" s="170" t="s">
        <v>106</v>
      </c>
      <c r="G4" s="171" t="s">
        <v>990</v>
      </c>
      <c r="H4" s="171" t="s">
        <v>45</v>
      </c>
      <c r="I4" s="171" t="s">
        <v>991</v>
      </c>
    </row>
    <row r="5" customFormat="false" ht="14.25" hidden="false" customHeight="false" outlineLevel="0" collapsed="false">
      <c r="A5" s="172" t="s">
        <v>992</v>
      </c>
      <c r="B5" s="173" t="n">
        <v>1</v>
      </c>
      <c r="C5" s="174" t="s">
        <v>69</v>
      </c>
      <c r="D5" s="175" t="s">
        <v>993</v>
      </c>
      <c r="E5" s="174"/>
      <c r="F5" s="176" t="s">
        <v>994</v>
      </c>
      <c r="G5" s="58" t="s">
        <v>992</v>
      </c>
      <c r="H5" s="58" t="s">
        <v>33</v>
      </c>
      <c r="I5" s="0" t="n">
        <v>1</v>
      </c>
    </row>
    <row r="6" customFormat="false" ht="14.25" hidden="false" customHeight="false" outlineLevel="0" collapsed="false">
      <c r="A6" s="177"/>
      <c r="B6" s="177"/>
      <c r="C6" s="174" t="s">
        <v>70</v>
      </c>
      <c r="D6" s="174" t="s">
        <v>995</v>
      </c>
      <c r="E6" s="174" t="s">
        <v>996</v>
      </c>
      <c r="F6" s="178" t="s">
        <v>997</v>
      </c>
      <c r="G6" s="58" t="s">
        <v>992</v>
      </c>
      <c r="H6" s="58" t="s">
        <v>33</v>
      </c>
      <c r="I6" s="0" t="n">
        <v>1</v>
      </c>
    </row>
    <row r="7" customFormat="false" ht="14.25" hidden="false" customHeight="false" outlineLevel="0" collapsed="false">
      <c r="A7" s="177"/>
      <c r="B7" s="177"/>
      <c r="C7" s="174" t="s">
        <v>71</v>
      </c>
      <c r="D7" s="174" t="s">
        <v>998</v>
      </c>
      <c r="E7" s="174" t="s">
        <v>996</v>
      </c>
      <c r="F7" s="178" t="s">
        <v>997</v>
      </c>
      <c r="G7" s="58" t="s">
        <v>992</v>
      </c>
      <c r="H7" s="58" t="s">
        <v>33</v>
      </c>
      <c r="I7" s="0" t="n">
        <v>1</v>
      </c>
    </row>
    <row r="8" customFormat="false" ht="14.25" hidden="false" customHeight="false" outlineLevel="0" collapsed="false">
      <c r="A8" s="177"/>
      <c r="B8" s="177"/>
      <c r="C8" s="174" t="s">
        <v>72</v>
      </c>
      <c r="D8" s="174" t="s">
        <v>999</v>
      </c>
      <c r="E8" s="174" t="s">
        <v>72</v>
      </c>
      <c r="F8" s="178" t="s">
        <v>997</v>
      </c>
      <c r="G8" s="58" t="s">
        <v>992</v>
      </c>
      <c r="H8" s="58" t="s">
        <v>33</v>
      </c>
      <c r="I8" s="0" t="n">
        <v>1</v>
      </c>
    </row>
    <row r="9" customFormat="false" ht="14.25" hidden="false" customHeight="false" outlineLevel="0" collapsed="false">
      <c r="A9" s="179"/>
      <c r="B9" s="179"/>
      <c r="C9" s="179"/>
      <c r="D9" s="179"/>
      <c r="E9" s="179"/>
      <c r="F9" s="179"/>
      <c r="G9" s="58" t="s">
        <v>992</v>
      </c>
      <c r="H9" s="58" t="s">
        <v>33</v>
      </c>
      <c r="I9" s="0" t="n">
        <v>1</v>
      </c>
    </row>
    <row r="10" customFormat="false" ht="14.25" hidden="false" customHeight="false" outlineLevel="0" collapsed="false">
      <c r="A10" s="180" t="s">
        <v>1000</v>
      </c>
      <c r="B10" s="181" t="n">
        <v>1</v>
      </c>
      <c r="C10" s="182" t="s">
        <v>69</v>
      </c>
      <c r="D10" s="182" t="s">
        <v>1001</v>
      </c>
      <c r="E10" s="182" t="s">
        <v>1002</v>
      </c>
      <c r="F10" s="183" t="s">
        <v>997</v>
      </c>
      <c r="G10" s="58" t="s">
        <v>1000</v>
      </c>
      <c r="H10" s="58" t="s">
        <v>31</v>
      </c>
      <c r="I10" s="0" t="n">
        <v>1</v>
      </c>
    </row>
    <row r="11" customFormat="false" ht="14.25" hidden="false" customHeight="false" outlineLevel="0" collapsed="false">
      <c r="A11" s="184"/>
      <c r="B11" s="184"/>
      <c r="C11" s="182" t="s">
        <v>70</v>
      </c>
      <c r="D11" s="182" t="s">
        <v>1003</v>
      </c>
      <c r="E11" s="182" t="s">
        <v>75</v>
      </c>
      <c r="F11" s="183" t="s">
        <v>997</v>
      </c>
      <c r="G11" s="58" t="s">
        <v>1000</v>
      </c>
      <c r="H11" s="58" t="s">
        <v>31</v>
      </c>
      <c r="I11" s="0" t="n">
        <v>1</v>
      </c>
    </row>
    <row r="12" customFormat="false" ht="14.25" hidden="false" customHeight="false" outlineLevel="0" collapsed="false">
      <c r="A12" s="184"/>
      <c r="B12" s="184"/>
      <c r="C12" s="182" t="s">
        <v>71</v>
      </c>
      <c r="D12" s="185" t="s">
        <v>993</v>
      </c>
      <c r="E12" s="182"/>
      <c r="F12" s="186" t="s">
        <v>994</v>
      </c>
      <c r="G12" s="58" t="s">
        <v>1000</v>
      </c>
      <c r="H12" s="58" t="s">
        <v>31</v>
      </c>
      <c r="I12" s="0" t="n">
        <v>1</v>
      </c>
    </row>
    <row r="13" customFormat="false" ht="14.25" hidden="false" customHeight="false" outlineLevel="0" collapsed="false">
      <c r="A13" s="184"/>
      <c r="B13" s="184"/>
      <c r="C13" s="182" t="s">
        <v>72</v>
      </c>
      <c r="D13" s="185" t="s">
        <v>993</v>
      </c>
      <c r="E13" s="182"/>
      <c r="F13" s="186" t="s">
        <v>994</v>
      </c>
      <c r="G13" s="58" t="s">
        <v>1000</v>
      </c>
      <c r="H13" s="58" t="s">
        <v>31</v>
      </c>
      <c r="I13" s="0" t="n">
        <v>1</v>
      </c>
    </row>
    <row r="14" customFormat="false" ht="14.25" hidden="false" customHeight="false" outlineLevel="0" collapsed="false">
      <c r="A14" s="187"/>
      <c r="B14" s="187"/>
      <c r="C14" s="187"/>
      <c r="D14" s="187"/>
      <c r="E14" s="187"/>
      <c r="F14" s="187"/>
      <c r="G14" s="58" t="s">
        <v>1000</v>
      </c>
      <c r="H14" s="58" t="s">
        <v>31</v>
      </c>
      <c r="I14" s="0" t="n">
        <v>1</v>
      </c>
    </row>
    <row r="15" customFormat="false" ht="14.25" hidden="false" customHeight="false" outlineLevel="0" collapsed="false">
      <c r="A15" s="180" t="s">
        <v>1000</v>
      </c>
      <c r="B15" s="181" t="n">
        <v>2</v>
      </c>
      <c r="C15" s="182" t="s">
        <v>69</v>
      </c>
      <c r="D15" s="185" t="s">
        <v>993</v>
      </c>
      <c r="E15" s="182"/>
      <c r="F15" s="186" t="s">
        <v>994</v>
      </c>
      <c r="G15" s="58" t="s">
        <v>1000</v>
      </c>
      <c r="H15" s="58" t="s">
        <v>31</v>
      </c>
      <c r="I15" s="0" t="n">
        <v>2</v>
      </c>
    </row>
    <row r="16" customFormat="false" ht="14.25" hidden="false" customHeight="false" outlineLevel="0" collapsed="false">
      <c r="A16" s="184"/>
      <c r="B16" s="184"/>
      <c r="C16" s="182" t="s">
        <v>70</v>
      </c>
      <c r="D16" s="182" t="s">
        <v>1004</v>
      </c>
      <c r="E16" s="182" t="s">
        <v>75</v>
      </c>
      <c r="F16" s="183" t="s">
        <v>997</v>
      </c>
      <c r="G16" s="58" t="s">
        <v>1000</v>
      </c>
      <c r="H16" s="58" t="s">
        <v>31</v>
      </c>
      <c r="I16" s="0" t="n">
        <v>2</v>
      </c>
    </row>
    <row r="17" customFormat="false" ht="14.25" hidden="false" customHeight="false" outlineLevel="0" collapsed="false">
      <c r="A17" s="184"/>
      <c r="B17" s="184"/>
      <c r="C17" s="182" t="s">
        <v>71</v>
      </c>
      <c r="D17" s="182" t="s">
        <v>1005</v>
      </c>
      <c r="E17" s="182" t="s">
        <v>75</v>
      </c>
      <c r="F17" s="183" t="s">
        <v>997</v>
      </c>
      <c r="G17" s="58" t="s">
        <v>1000</v>
      </c>
      <c r="H17" s="58" t="s">
        <v>31</v>
      </c>
      <c r="I17" s="0" t="n">
        <v>2</v>
      </c>
    </row>
    <row r="18" customFormat="false" ht="14.25" hidden="false" customHeight="false" outlineLevel="0" collapsed="false">
      <c r="A18" s="184"/>
      <c r="B18" s="184"/>
      <c r="C18" s="182" t="s">
        <v>72</v>
      </c>
      <c r="D18" s="182" t="s">
        <v>1006</v>
      </c>
      <c r="E18" s="182" t="s">
        <v>72</v>
      </c>
      <c r="F18" s="183" t="s">
        <v>997</v>
      </c>
      <c r="G18" s="58" t="s">
        <v>1000</v>
      </c>
      <c r="H18" s="58" t="s">
        <v>31</v>
      </c>
      <c r="I18" s="0" t="n">
        <v>2</v>
      </c>
    </row>
    <row r="19" customFormat="false" ht="14.25" hidden="false" customHeight="false" outlineLevel="0" collapsed="false">
      <c r="A19" s="187"/>
      <c r="B19" s="187"/>
      <c r="C19" s="187"/>
      <c r="D19" s="187"/>
      <c r="E19" s="187"/>
      <c r="F19" s="187"/>
      <c r="G19" s="58" t="s">
        <v>1000</v>
      </c>
      <c r="H19" s="58" t="s">
        <v>31</v>
      </c>
      <c r="I19" s="0" t="n">
        <v>2</v>
      </c>
    </row>
    <row r="20" customFormat="false" ht="14.25" hidden="false" customHeight="false" outlineLevel="0" collapsed="false">
      <c r="A20" s="172" t="s">
        <v>1007</v>
      </c>
      <c r="B20" s="173" t="n">
        <v>1</v>
      </c>
      <c r="C20" s="174" t="s">
        <v>69</v>
      </c>
      <c r="D20" s="174" t="s">
        <v>1008</v>
      </c>
      <c r="E20" s="174" t="s">
        <v>1009</v>
      </c>
      <c r="F20" s="178" t="s">
        <v>997</v>
      </c>
      <c r="G20" s="58" t="s">
        <v>1007</v>
      </c>
      <c r="H20" s="58" t="s">
        <v>52</v>
      </c>
      <c r="I20" s="0" t="n">
        <v>1</v>
      </c>
    </row>
    <row r="21" customFormat="false" ht="14.25" hidden="false" customHeight="false" outlineLevel="0" collapsed="false">
      <c r="A21" s="177"/>
      <c r="B21" s="177"/>
      <c r="C21" s="174" t="s">
        <v>70</v>
      </c>
      <c r="D21" s="174" t="s">
        <v>1010</v>
      </c>
      <c r="E21" s="174" t="s">
        <v>75</v>
      </c>
      <c r="F21" s="178" t="s">
        <v>997</v>
      </c>
      <c r="G21" s="58" t="s">
        <v>1007</v>
      </c>
      <c r="H21" s="58" t="s">
        <v>52</v>
      </c>
      <c r="I21" s="0" t="n">
        <v>1</v>
      </c>
    </row>
    <row r="22" customFormat="false" ht="14.25" hidden="false" customHeight="false" outlineLevel="0" collapsed="false">
      <c r="A22" s="177"/>
      <c r="B22" s="177"/>
      <c r="C22" s="174" t="s">
        <v>71</v>
      </c>
      <c r="D22" s="174" t="s">
        <v>1011</v>
      </c>
      <c r="E22" s="174" t="s">
        <v>75</v>
      </c>
      <c r="F22" s="178" t="s">
        <v>997</v>
      </c>
      <c r="G22" s="58" t="s">
        <v>1007</v>
      </c>
      <c r="H22" s="58" t="s">
        <v>52</v>
      </c>
      <c r="I22" s="0" t="n">
        <v>1</v>
      </c>
    </row>
    <row r="23" customFormat="false" ht="14.25" hidden="false" customHeight="false" outlineLevel="0" collapsed="false">
      <c r="A23" s="177"/>
      <c r="B23" s="177"/>
      <c r="C23" s="174" t="s">
        <v>72</v>
      </c>
      <c r="D23" s="174" t="s">
        <v>1012</v>
      </c>
      <c r="E23" s="174" t="s">
        <v>72</v>
      </c>
      <c r="F23" s="178" t="s">
        <v>997</v>
      </c>
      <c r="G23" s="58" t="s">
        <v>1007</v>
      </c>
      <c r="H23" s="58" t="s">
        <v>52</v>
      </c>
      <c r="I23" s="0" t="n">
        <v>1</v>
      </c>
    </row>
    <row r="24" customFormat="false" ht="14.25" hidden="false" customHeight="false" outlineLevel="0" collapsed="false">
      <c r="A24" s="179"/>
      <c r="B24" s="179"/>
      <c r="C24" s="179"/>
      <c r="D24" s="179"/>
      <c r="E24" s="179"/>
      <c r="F24" s="179"/>
      <c r="G24" s="58" t="s">
        <v>1007</v>
      </c>
      <c r="H24" s="58" t="s">
        <v>52</v>
      </c>
      <c r="I24" s="0" t="n">
        <v>1</v>
      </c>
    </row>
    <row r="25" customFormat="false" ht="14.25" hidden="false" customHeight="false" outlineLevel="0" collapsed="false">
      <c r="A25" s="172" t="s">
        <v>1007</v>
      </c>
      <c r="B25" s="173" t="n">
        <v>2</v>
      </c>
      <c r="C25" s="174" t="s">
        <v>69</v>
      </c>
      <c r="D25" s="175" t="s">
        <v>993</v>
      </c>
      <c r="E25" s="174"/>
      <c r="F25" s="176" t="s">
        <v>994</v>
      </c>
      <c r="G25" s="58" t="s">
        <v>1007</v>
      </c>
      <c r="H25" s="58" t="s">
        <v>52</v>
      </c>
      <c r="I25" s="0" t="n">
        <v>2</v>
      </c>
    </row>
    <row r="26" customFormat="false" ht="14.25" hidden="false" customHeight="false" outlineLevel="0" collapsed="false">
      <c r="A26" s="177"/>
      <c r="B26" s="177"/>
      <c r="C26" s="174" t="s">
        <v>70</v>
      </c>
      <c r="D26" s="174" t="s">
        <v>1013</v>
      </c>
      <c r="E26" s="174" t="s">
        <v>75</v>
      </c>
      <c r="F26" s="178" t="s">
        <v>997</v>
      </c>
      <c r="G26" s="58" t="s">
        <v>1007</v>
      </c>
      <c r="H26" s="58" t="s">
        <v>52</v>
      </c>
      <c r="I26" s="0" t="n">
        <v>2</v>
      </c>
    </row>
    <row r="27" customFormat="false" ht="14.25" hidden="false" customHeight="false" outlineLevel="0" collapsed="false">
      <c r="A27" s="177"/>
      <c r="B27" s="177"/>
      <c r="C27" s="174" t="s">
        <v>71</v>
      </c>
      <c r="D27" s="174" t="s">
        <v>1014</v>
      </c>
      <c r="E27" s="174" t="s">
        <v>996</v>
      </c>
      <c r="F27" s="178" t="s">
        <v>997</v>
      </c>
      <c r="G27" s="58" t="s">
        <v>1007</v>
      </c>
      <c r="H27" s="58" t="s">
        <v>52</v>
      </c>
      <c r="I27" s="0" t="n">
        <v>2</v>
      </c>
    </row>
    <row r="28" customFormat="false" ht="14.25" hidden="false" customHeight="false" outlineLevel="0" collapsed="false">
      <c r="A28" s="177"/>
      <c r="B28" s="177"/>
      <c r="C28" s="174" t="s">
        <v>72</v>
      </c>
      <c r="D28" s="175" t="s">
        <v>993</v>
      </c>
      <c r="E28" s="174"/>
      <c r="F28" s="176" t="s">
        <v>994</v>
      </c>
      <c r="G28" s="58" t="s">
        <v>1007</v>
      </c>
      <c r="H28" s="58" t="s">
        <v>52</v>
      </c>
      <c r="I28" s="0" t="n">
        <v>2</v>
      </c>
    </row>
    <row r="29" customFormat="false" ht="14.25" hidden="false" customHeight="false" outlineLevel="0" collapsed="false">
      <c r="A29" s="177"/>
      <c r="B29" s="177"/>
      <c r="C29" s="188" t="s">
        <v>1015</v>
      </c>
      <c r="D29" s="188" t="s">
        <v>1016</v>
      </c>
      <c r="E29" s="188" t="s">
        <v>996</v>
      </c>
      <c r="F29" s="189" t="s">
        <v>1017</v>
      </c>
      <c r="G29" s="58" t="s">
        <v>1007</v>
      </c>
      <c r="H29" s="58" t="s">
        <v>52</v>
      </c>
      <c r="I29" s="0" t="n">
        <v>2</v>
      </c>
    </row>
    <row r="30" customFormat="false" ht="14.25" hidden="false" customHeight="false" outlineLevel="0" collapsed="false">
      <c r="A30" s="179"/>
      <c r="B30" s="179"/>
      <c r="C30" s="179"/>
      <c r="D30" s="179"/>
      <c r="E30" s="179"/>
      <c r="F30" s="179"/>
      <c r="G30" s="58" t="s">
        <v>1007</v>
      </c>
      <c r="H30" s="58" t="s">
        <v>52</v>
      </c>
      <c r="I30" s="0" t="n">
        <v>2</v>
      </c>
    </row>
    <row r="31" customFormat="false" ht="14.25" hidden="false" customHeight="false" outlineLevel="0" collapsed="false">
      <c r="A31" s="172" t="s">
        <v>1007</v>
      </c>
      <c r="B31" s="173" t="n">
        <v>3</v>
      </c>
      <c r="C31" s="174" t="s">
        <v>69</v>
      </c>
      <c r="D31" s="175" t="s">
        <v>993</v>
      </c>
      <c r="E31" s="174"/>
      <c r="F31" s="176" t="s">
        <v>994</v>
      </c>
      <c r="G31" s="58" t="s">
        <v>1007</v>
      </c>
      <c r="H31" s="58" t="s">
        <v>52</v>
      </c>
      <c r="I31" s="0" t="n">
        <v>3</v>
      </c>
    </row>
    <row r="32" customFormat="false" ht="14.25" hidden="false" customHeight="false" outlineLevel="0" collapsed="false">
      <c r="A32" s="177"/>
      <c r="B32" s="177"/>
      <c r="C32" s="174" t="s">
        <v>70</v>
      </c>
      <c r="D32" s="174" t="s">
        <v>1018</v>
      </c>
      <c r="E32" s="174" t="s">
        <v>996</v>
      </c>
      <c r="F32" s="178" t="s">
        <v>997</v>
      </c>
      <c r="G32" s="58" t="s">
        <v>1007</v>
      </c>
      <c r="H32" s="58" t="s">
        <v>52</v>
      </c>
      <c r="I32" s="0" t="n">
        <v>3</v>
      </c>
    </row>
    <row r="33" customFormat="false" ht="14.25" hidden="false" customHeight="false" outlineLevel="0" collapsed="false">
      <c r="A33" s="177"/>
      <c r="B33" s="177"/>
      <c r="C33" s="174" t="s">
        <v>71</v>
      </c>
      <c r="D33" s="174" t="s">
        <v>1019</v>
      </c>
      <c r="E33" s="174" t="s">
        <v>75</v>
      </c>
      <c r="F33" s="178" t="s">
        <v>997</v>
      </c>
      <c r="G33" s="58" t="s">
        <v>1007</v>
      </c>
      <c r="H33" s="58" t="s">
        <v>52</v>
      </c>
      <c r="I33" s="0" t="n">
        <v>3</v>
      </c>
    </row>
    <row r="34" customFormat="false" ht="14.25" hidden="false" customHeight="false" outlineLevel="0" collapsed="false">
      <c r="A34" s="177"/>
      <c r="B34" s="177"/>
      <c r="C34" s="174" t="s">
        <v>72</v>
      </c>
      <c r="D34" s="175" t="s">
        <v>993</v>
      </c>
      <c r="E34" s="174"/>
      <c r="F34" s="176" t="s">
        <v>994</v>
      </c>
      <c r="G34" s="58" t="s">
        <v>1007</v>
      </c>
      <c r="H34" s="58" t="s">
        <v>52</v>
      </c>
      <c r="I34" s="0" t="n">
        <v>3</v>
      </c>
    </row>
    <row r="35" customFormat="false" ht="14.25" hidden="false" customHeight="false" outlineLevel="0" collapsed="false">
      <c r="A35" s="179"/>
      <c r="B35" s="179"/>
      <c r="C35" s="179"/>
      <c r="D35" s="179"/>
      <c r="E35" s="179"/>
      <c r="F35" s="179"/>
      <c r="G35" s="58" t="s">
        <v>1007</v>
      </c>
      <c r="H35" s="58" t="s">
        <v>52</v>
      </c>
      <c r="I35" s="0" t="n">
        <v>3</v>
      </c>
    </row>
    <row r="36" customFormat="false" ht="14.25" hidden="false" customHeight="false" outlineLevel="0" collapsed="false">
      <c r="A36" s="180" t="s">
        <v>1020</v>
      </c>
      <c r="B36" s="181" t="n">
        <v>1</v>
      </c>
      <c r="C36" s="182" t="s">
        <v>69</v>
      </c>
      <c r="D36" s="182" t="s">
        <v>1021</v>
      </c>
      <c r="E36" s="182" t="s">
        <v>1022</v>
      </c>
      <c r="F36" s="183" t="s">
        <v>997</v>
      </c>
      <c r="G36" s="58" t="s">
        <v>1020</v>
      </c>
      <c r="H36" s="58" t="s">
        <v>35</v>
      </c>
      <c r="I36" s="0" t="n">
        <v>1</v>
      </c>
    </row>
    <row r="37" customFormat="false" ht="14.25" hidden="false" customHeight="false" outlineLevel="0" collapsed="false">
      <c r="A37" s="184"/>
      <c r="B37" s="184"/>
      <c r="C37" s="182" t="s">
        <v>70</v>
      </c>
      <c r="D37" s="182" t="s">
        <v>1023</v>
      </c>
      <c r="E37" s="182" t="s">
        <v>75</v>
      </c>
      <c r="F37" s="183" t="s">
        <v>997</v>
      </c>
      <c r="G37" s="58" t="s">
        <v>1020</v>
      </c>
      <c r="H37" s="58" t="s">
        <v>35</v>
      </c>
      <c r="I37" s="0" t="n">
        <v>1</v>
      </c>
    </row>
    <row r="38" customFormat="false" ht="14.25" hidden="false" customHeight="false" outlineLevel="0" collapsed="false">
      <c r="A38" s="184"/>
      <c r="B38" s="184"/>
      <c r="C38" s="182" t="s">
        <v>71</v>
      </c>
      <c r="D38" s="185" t="s">
        <v>993</v>
      </c>
      <c r="E38" s="182"/>
      <c r="F38" s="186" t="s">
        <v>994</v>
      </c>
      <c r="G38" s="58" t="s">
        <v>1020</v>
      </c>
      <c r="H38" s="58" t="s">
        <v>35</v>
      </c>
      <c r="I38" s="0" t="n">
        <v>1</v>
      </c>
    </row>
    <row r="39" customFormat="false" ht="14.25" hidden="false" customHeight="false" outlineLevel="0" collapsed="false">
      <c r="A39" s="184"/>
      <c r="B39" s="184"/>
      <c r="C39" s="182" t="s">
        <v>72</v>
      </c>
      <c r="D39" s="182" t="s">
        <v>1024</v>
      </c>
      <c r="E39" s="182" t="s">
        <v>72</v>
      </c>
      <c r="F39" s="183" t="s">
        <v>997</v>
      </c>
      <c r="G39" s="58" t="s">
        <v>1020</v>
      </c>
      <c r="H39" s="58" t="s">
        <v>35</v>
      </c>
      <c r="I39" s="0" t="n">
        <v>1</v>
      </c>
    </row>
    <row r="40" customFormat="false" ht="14.25" hidden="false" customHeight="false" outlineLevel="0" collapsed="false">
      <c r="A40" s="187"/>
      <c r="B40" s="187"/>
      <c r="C40" s="187"/>
      <c r="D40" s="187"/>
      <c r="E40" s="187"/>
      <c r="F40" s="187"/>
      <c r="G40" s="58" t="s">
        <v>1020</v>
      </c>
      <c r="H40" s="58" t="s">
        <v>35</v>
      </c>
      <c r="I40" s="0" t="n">
        <v>1</v>
      </c>
    </row>
    <row r="41" customFormat="false" ht="14.25" hidden="false" customHeight="false" outlineLevel="0" collapsed="false">
      <c r="A41" s="172" t="s">
        <v>1025</v>
      </c>
      <c r="B41" s="173" t="n">
        <v>1</v>
      </c>
      <c r="C41" s="174" t="s">
        <v>69</v>
      </c>
      <c r="D41" s="175" t="s">
        <v>993</v>
      </c>
      <c r="E41" s="174"/>
      <c r="F41" s="176" t="s">
        <v>994</v>
      </c>
      <c r="G41" s="58" t="s">
        <v>1025</v>
      </c>
      <c r="H41" s="58" t="s">
        <v>53</v>
      </c>
      <c r="I41" s="0" t="n">
        <v>1</v>
      </c>
    </row>
    <row r="42" customFormat="false" ht="14.25" hidden="false" customHeight="false" outlineLevel="0" collapsed="false">
      <c r="A42" s="177"/>
      <c r="B42" s="177"/>
      <c r="C42" s="174" t="s">
        <v>70</v>
      </c>
      <c r="D42" s="174" t="s">
        <v>1026</v>
      </c>
      <c r="E42" s="174" t="s">
        <v>75</v>
      </c>
      <c r="F42" s="178" t="s">
        <v>997</v>
      </c>
      <c r="G42" s="58" t="s">
        <v>1025</v>
      </c>
      <c r="H42" s="58" t="s">
        <v>53</v>
      </c>
      <c r="I42" s="0" t="n">
        <v>1</v>
      </c>
    </row>
    <row r="43" customFormat="false" ht="14.25" hidden="false" customHeight="false" outlineLevel="0" collapsed="false">
      <c r="A43" s="177"/>
      <c r="B43" s="177"/>
      <c r="C43" s="174" t="s">
        <v>71</v>
      </c>
      <c r="D43" s="174" t="s">
        <v>1027</v>
      </c>
      <c r="E43" s="174" t="s">
        <v>996</v>
      </c>
      <c r="F43" s="178" t="s">
        <v>997</v>
      </c>
      <c r="G43" s="58" t="s">
        <v>1025</v>
      </c>
      <c r="H43" s="58" t="s">
        <v>53</v>
      </c>
      <c r="I43" s="0" t="n">
        <v>1</v>
      </c>
    </row>
    <row r="44" customFormat="false" ht="14.25" hidden="false" customHeight="false" outlineLevel="0" collapsed="false">
      <c r="A44" s="177"/>
      <c r="B44" s="177"/>
      <c r="C44" s="174" t="s">
        <v>72</v>
      </c>
      <c r="D44" s="174" t="s">
        <v>1028</v>
      </c>
      <c r="E44" s="174" t="s">
        <v>72</v>
      </c>
      <c r="F44" s="178" t="s">
        <v>997</v>
      </c>
      <c r="G44" s="58" t="s">
        <v>1025</v>
      </c>
      <c r="H44" s="58" t="s">
        <v>53</v>
      </c>
      <c r="I44" s="0" t="n">
        <v>1</v>
      </c>
    </row>
    <row r="45" customFormat="false" ht="14.25" hidden="false" customHeight="false" outlineLevel="0" collapsed="false">
      <c r="A45" s="179"/>
      <c r="B45" s="179"/>
      <c r="C45" s="179"/>
      <c r="D45" s="179"/>
      <c r="E45" s="179"/>
      <c r="F45" s="179"/>
      <c r="G45" s="58" t="s">
        <v>1025</v>
      </c>
      <c r="H45" s="58" t="s">
        <v>53</v>
      </c>
      <c r="I45" s="0" t="n">
        <v>1</v>
      </c>
    </row>
    <row r="46" customFormat="false" ht="14.25" hidden="false" customHeight="false" outlineLevel="0" collapsed="false">
      <c r="A46" s="172" t="s">
        <v>1025</v>
      </c>
      <c r="B46" s="173" t="n">
        <v>2</v>
      </c>
      <c r="C46" s="174" t="s">
        <v>69</v>
      </c>
      <c r="D46" s="175" t="s">
        <v>993</v>
      </c>
      <c r="E46" s="174"/>
      <c r="F46" s="176" t="s">
        <v>994</v>
      </c>
      <c r="G46" s="58" t="s">
        <v>1025</v>
      </c>
      <c r="H46" s="58" t="s">
        <v>53</v>
      </c>
      <c r="I46" s="0" t="n">
        <v>2</v>
      </c>
    </row>
    <row r="47" customFormat="false" ht="14.25" hidden="false" customHeight="false" outlineLevel="0" collapsed="false">
      <c r="A47" s="177"/>
      <c r="B47" s="177"/>
      <c r="C47" s="174" t="s">
        <v>70</v>
      </c>
      <c r="D47" s="174" t="s">
        <v>1029</v>
      </c>
      <c r="E47" s="174" t="s">
        <v>75</v>
      </c>
      <c r="F47" s="178" t="s">
        <v>997</v>
      </c>
      <c r="G47" s="58" t="s">
        <v>1025</v>
      </c>
      <c r="H47" s="58" t="s">
        <v>53</v>
      </c>
      <c r="I47" s="0" t="n">
        <v>2</v>
      </c>
    </row>
    <row r="48" customFormat="false" ht="14.25" hidden="false" customHeight="false" outlineLevel="0" collapsed="false">
      <c r="A48" s="177"/>
      <c r="B48" s="177"/>
      <c r="C48" s="174" t="s">
        <v>71</v>
      </c>
      <c r="D48" s="174" t="s">
        <v>1030</v>
      </c>
      <c r="E48" s="174" t="s">
        <v>996</v>
      </c>
      <c r="F48" s="178" t="s">
        <v>997</v>
      </c>
      <c r="G48" s="58" t="s">
        <v>1025</v>
      </c>
      <c r="H48" s="58" t="s">
        <v>53</v>
      </c>
      <c r="I48" s="0" t="n">
        <v>2</v>
      </c>
    </row>
    <row r="49" customFormat="false" ht="14.25" hidden="false" customHeight="false" outlineLevel="0" collapsed="false">
      <c r="A49" s="177"/>
      <c r="B49" s="177"/>
      <c r="C49" s="174" t="s">
        <v>72</v>
      </c>
      <c r="D49" s="174" t="s">
        <v>1031</v>
      </c>
      <c r="E49" s="174" t="s">
        <v>72</v>
      </c>
      <c r="F49" s="178" t="s">
        <v>997</v>
      </c>
      <c r="G49" s="58" t="s">
        <v>1025</v>
      </c>
      <c r="H49" s="58" t="s">
        <v>53</v>
      </c>
      <c r="I49" s="0" t="n">
        <v>2</v>
      </c>
    </row>
    <row r="50" customFormat="false" ht="14.25" hidden="false" customHeight="false" outlineLevel="0" collapsed="false">
      <c r="A50" s="179"/>
      <c r="B50" s="179"/>
      <c r="C50" s="179"/>
      <c r="D50" s="179"/>
      <c r="E50" s="179"/>
      <c r="F50" s="179"/>
      <c r="G50" s="58" t="s">
        <v>1025</v>
      </c>
      <c r="H50" s="58" t="s">
        <v>53</v>
      </c>
      <c r="I50" s="0" t="n">
        <v>2</v>
      </c>
    </row>
    <row r="51" customFormat="false" ht="14.25" hidden="false" customHeight="false" outlineLevel="0" collapsed="false">
      <c r="A51" s="180" t="s">
        <v>1032</v>
      </c>
      <c r="B51" s="181" t="n">
        <v>1</v>
      </c>
      <c r="C51" s="182" t="s">
        <v>69</v>
      </c>
      <c r="D51" s="182" t="s">
        <v>1033</v>
      </c>
      <c r="E51" s="182" t="s">
        <v>69</v>
      </c>
      <c r="F51" s="183" t="s">
        <v>997</v>
      </c>
      <c r="G51" s="58" t="s">
        <v>1032</v>
      </c>
      <c r="H51" s="58" t="s">
        <v>55</v>
      </c>
      <c r="I51" s="0" t="n">
        <v>1</v>
      </c>
    </row>
    <row r="52" customFormat="false" ht="14.25" hidden="false" customHeight="false" outlineLevel="0" collapsed="false">
      <c r="A52" s="184"/>
      <c r="B52" s="184"/>
      <c r="C52" s="182" t="s">
        <v>70</v>
      </c>
      <c r="D52" s="182" t="s">
        <v>1034</v>
      </c>
      <c r="E52" s="182" t="s">
        <v>75</v>
      </c>
      <c r="F52" s="183" t="s">
        <v>997</v>
      </c>
      <c r="G52" s="58" t="s">
        <v>1032</v>
      </c>
      <c r="H52" s="58" t="s">
        <v>55</v>
      </c>
      <c r="I52" s="0" t="n">
        <v>1</v>
      </c>
    </row>
    <row r="53" customFormat="false" ht="14.25" hidden="false" customHeight="false" outlineLevel="0" collapsed="false">
      <c r="A53" s="184"/>
      <c r="B53" s="184"/>
      <c r="C53" s="182" t="s">
        <v>71</v>
      </c>
      <c r="D53" s="182" t="s">
        <v>1035</v>
      </c>
      <c r="E53" s="182" t="s">
        <v>996</v>
      </c>
      <c r="F53" s="183" t="s">
        <v>997</v>
      </c>
      <c r="G53" s="58" t="s">
        <v>1032</v>
      </c>
      <c r="H53" s="58" t="s">
        <v>55</v>
      </c>
      <c r="I53" s="0" t="n">
        <v>1</v>
      </c>
    </row>
    <row r="54" customFormat="false" ht="14.25" hidden="false" customHeight="false" outlineLevel="0" collapsed="false">
      <c r="A54" s="184"/>
      <c r="B54" s="184"/>
      <c r="C54" s="182" t="s">
        <v>72</v>
      </c>
      <c r="D54" s="182" t="s">
        <v>1036</v>
      </c>
      <c r="E54" s="182" t="s">
        <v>72</v>
      </c>
      <c r="F54" s="183" t="s">
        <v>997</v>
      </c>
      <c r="G54" s="58" t="s">
        <v>1032</v>
      </c>
      <c r="H54" s="58" t="s">
        <v>55</v>
      </c>
      <c r="I54" s="0" t="n">
        <v>1</v>
      </c>
    </row>
    <row r="55" customFormat="false" ht="14.25" hidden="false" customHeight="false" outlineLevel="0" collapsed="false">
      <c r="A55" s="187"/>
      <c r="B55" s="187"/>
      <c r="C55" s="187"/>
      <c r="D55" s="187"/>
      <c r="E55" s="187"/>
      <c r="F55" s="187"/>
      <c r="G55" s="58" t="s">
        <v>1032</v>
      </c>
      <c r="H55" s="58" t="s">
        <v>55</v>
      </c>
      <c r="I55" s="0" t="n">
        <v>1</v>
      </c>
    </row>
    <row r="56" customFormat="false" ht="14.25" hidden="false" customHeight="false" outlineLevel="0" collapsed="false">
      <c r="A56" s="180" t="s">
        <v>1032</v>
      </c>
      <c r="B56" s="181" t="n">
        <v>2</v>
      </c>
      <c r="C56" s="182" t="s">
        <v>69</v>
      </c>
      <c r="D56" s="185" t="s">
        <v>993</v>
      </c>
      <c r="E56" s="182"/>
      <c r="F56" s="186" t="s">
        <v>994</v>
      </c>
      <c r="G56" s="58" t="s">
        <v>1032</v>
      </c>
      <c r="H56" s="58" t="s">
        <v>55</v>
      </c>
      <c r="I56" s="0" t="n">
        <v>2</v>
      </c>
    </row>
    <row r="57" customFormat="false" ht="14.25" hidden="false" customHeight="false" outlineLevel="0" collapsed="false">
      <c r="A57" s="184"/>
      <c r="B57" s="184"/>
      <c r="C57" s="182" t="s">
        <v>70</v>
      </c>
      <c r="D57" s="182" t="s">
        <v>1037</v>
      </c>
      <c r="E57" s="182" t="s">
        <v>75</v>
      </c>
      <c r="F57" s="183" t="s">
        <v>997</v>
      </c>
      <c r="G57" s="58" t="s">
        <v>1032</v>
      </c>
      <c r="H57" s="58" t="s">
        <v>55</v>
      </c>
      <c r="I57" s="0" t="n">
        <v>2</v>
      </c>
    </row>
    <row r="58" customFormat="false" ht="14.25" hidden="false" customHeight="false" outlineLevel="0" collapsed="false">
      <c r="A58" s="184"/>
      <c r="B58" s="184"/>
      <c r="C58" s="182" t="s">
        <v>71</v>
      </c>
      <c r="D58" s="182" t="s">
        <v>1038</v>
      </c>
      <c r="E58" s="182" t="s">
        <v>75</v>
      </c>
      <c r="F58" s="183" t="s">
        <v>997</v>
      </c>
      <c r="G58" s="58" t="s">
        <v>1032</v>
      </c>
      <c r="H58" s="58" t="s">
        <v>55</v>
      </c>
      <c r="I58" s="0" t="n">
        <v>2</v>
      </c>
    </row>
    <row r="59" customFormat="false" ht="14.25" hidden="false" customHeight="false" outlineLevel="0" collapsed="false">
      <c r="A59" s="184"/>
      <c r="B59" s="184"/>
      <c r="C59" s="182" t="s">
        <v>72</v>
      </c>
      <c r="D59" s="185" t="s">
        <v>993</v>
      </c>
      <c r="E59" s="182"/>
      <c r="F59" s="186" t="s">
        <v>994</v>
      </c>
      <c r="G59" s="58" t="s">
        <v>1032</v>
      </c>
      <c r="H59" s="58" t="s">
        <v>55</v>
      </c>
      <c r="I59" s="0" t="n">
        <v>2</v>
      </c>
    </row>
    <row r="60" customFormat="false" ht="14.25" hidden="false" customHeight="false" outlineLevel="0" collapsed="false">
      <c r="A60" s="184"/>
      <c r="B60" s="184"/>
      <c r="C60" s="190" t="s">
        <v>1015</v>
      </c>
      <c r="D60" s="190" t="s">
        <v>1039</v>
      </c>
      <c r="E60" s="190" t="s">
        <v>1040</v>
      </c>
      <c r="F60" s="191" t="s">
        <v>1017</v>
      </c>
      <c r="G60" s="58" t="s">
        <v>1032</v>
      </c>
      <c r="H60" s="58" t="s">
        <v>55</v>
      </c>
      <c r="I60" s="0" t="n">
        <v>2</v>
      </c>
    </row>
    <row r="61" customFormat="false" ht="14.25" hidden="false" customHeight="false" outlineLevel="0" collapsed="false">
      <c r="A61" s="187"/>
      <c r="B61" s="187"/>
      <c r="C61" s="187"/>
      <c r="D61" s="187"/>
      <c r="E61" s="187"/>
      <c r="F61" s="187"/>
      <c r="G61" s="58" t="s">
        <v>1032</v>
      </c>
      <c r="H61" s="58" t="s">
        <v>55</v>
      </c>
      <c r="I61" s="0" t="n">
        <v>2</v>
      </c>
    </row>
    <row r="62" customFormat="false" ht="14.25" hidden="false" customHeight="false" outlineLevel="0" collapsed="false">
      <c r="A62" s="172" t="s">
        <v>1041</v>
      </c>
      <c r="B62" s="173" t="n">
        <v>1</v>
      </c>
      <c r="C62" s="174" t="s">
        <v>69</v>
      </c>
      <c r="D62" s="175" t="s">
        <v>993</v>
      </c>
      <c r="E62" s="174"/>
      <c r="F62" s="176" t="s">
        <v>994</v>
      </c>
      <c r="G62" s="58" t="s">
        <v>1041</v>
      </c>
      <c r="H62" s="58" t="s">
        <v>56</v>
      </c>
      <c r="I62" s="0" t="n">
        <v>1</v>
      </c>
    </row>
    <row r="63" customFormat="false" ht="14.25" hidden="false" customHeight="false" outlineLevel="0" collapsed="false">
      <c r="A63" s="177"/>
      <c r="B63" s="177"/>
      <c r="C63" s="174" t="s">
        <v>70</v>
      </c>
      <c r="D63" s="174" t="s">
        <v>1042</v>
      </c>
      <c r="E63" s="174" t="s">
        <v>75</v>
      </c>
      <c r="F63" s="178" t="s">
        <v>997</v>
      </c>
      <c r="G63" s="58" t="s">
        <v>1041</v>
      </c>
      <c r="H63" s="58" t="s">
        <v>56</v>
      </c>
      <c r="I63" s="0" t="n">
        <v>1</v>
      </c>
    </row>
    <row r="64" customFormat="false" ht="14.25" hidden="false" customHeight="false" outlineLevel="0" collapsed="false">
      <c r="A64" s="177"/>
      <c r="B64" s="177"/>
      <c r="C64" s="174" t="s">
        <v>71</v>
      </c>
      <c r="D64" s="174" t="s">
        <v>1043</v>
      </c>
      <c r="E64" s="174" t="s">
        <v>996</v>
      </c>
      <c r="F64" s="178" t="s">
        <v>997</v>
      </c>
      <c r="G64" s="58" t="s">
        <v>1041</v>
      </c>
      <c r="H64" s="58" t="s">
        <v>56</v>
      </c>
      <c r="I64" s="0" t="n">
        <v>1</v>
      </c>
    </row>
    <row r="65" customFormat="false" ht="14.25" hidden="false" customHeight="false" outlineLevel="0" collapsed="false">
      <c r="A65" s="177"/>
      <c r="B65" s="177"/>
      <c r="C65" s="174" t="s">
        <v>72</v>
      </c>
      <c r="D65" s="174" t="s">
        <v>1044</v>
      </c>
      <c r="E65" s="174" t="s">
        <v>72</v>
      </c>
      <c r="F65" s="178" t="s">
        <v>997</v>
      </c>
      <c r="G65" s="58" t="s">
        <v>1041</v>
      </c>
      <c r="H65" s="58" t="s">
        <v>56</v>
      </c>
      <c r="I65" s="0" t="n">
        <v>1</v>
      </c>
    </row>
    <row r="66" customFormat="false" ht="14.25" hidden="false" customHeight="false" outlineLevel="0" collapsed="false">
      <c r="A66" s="179"/>
      <c r="B66" s="179"/>
      <c r="C66" s="179"/>
      <c r="D66" s="179"/>
      <c r="E66" s="179"/>
      <c r="F66" s="179"/>
      <c r="G66" s="58" t="s">
        <v>1041</v>
      </c>
      <c r="H66" s="58" t="s">
        <v>56</v>
      </c>
      <c r="I66" s="0" t="n">
        <v>1</v>
      </c>
    </row>
    <row r="67" customFormat="false" ht="14.25" hidden="false" customHeight="false" outlineLevel="0" collapsed="false">
      <c r="A67" s="180" t="s">
        <v>1045</v>
      </c>
      <c r="B67" s="181" t="n">
        <v>1</v>
      </c>
      <c r="C67" s="182" t="s">
        <v>69</v>
      </c>
      <c r="D67" s="185" t="s">
        <v>993</v>
      </c>
      <c r="E67" s="182"/>
      <c r="F67" s="186" t="s">
        <v>994</v>
      </c>
      <c r="G67" s="58" t="s">
        <v>1045</v>
      </c>
      <c r="H67" s="58" t="s">
        <v>58</v>
      </c>
      <c r="I67" s="0" t="n">
        <v>1</v>
      </c>
    </row>
    <row r="68" customFormat="false" ht="14.25" hidden="false" customHeight="false" outlineLevel="0" collapsed="false">
      <c r="A68" s="184"/>
      <c r="B68" s="184"/>
      <c r="C68" s="182" t="s">
        <v>70</v>
      </c>
      <c r="D68" s="182" t="s">
        <v>1046</v>
      </c>
      <c r="E68" s="182" t="s">
        <v>75</v>
      </c>
      <c r="F68" s="183" t="s">
        <v>997</v>
      </c>
      <c r="G68" s="58" t="s">
        <v>1045</v>
      </c>
      <c r="H68" s="58" t="s">
        <v>58</v>
      </c>
      <c r="I68" s="0" t="n">
        <v>1</v>
      </c>
    </row>
    <row r="69" customFormat="false" ht="14.25" hidden="false" customHeight="false" outlineLevel="0" collapsed="false">
      <c r="A69" s="184"/>
      <c r="B69" s="184"/>
      <c r="C69" s="182" t="s">
        <v>71</v>
      </c>
      <c r="D69" s="182" t="s">
        <v>1047</v>
      </c>
      <c r="E69" s="182" t="s">
        <v>996</v>
      </c>
      <c r="F69" s="183" t="s">
        <v>997</v>
      </c>
      <c r="G69" s="58" t="s">
        <v>1045</v>
      </c>
      <c r="H69" s="58" t="s">
        <v>58</v>
      </c>
      <c r="I69" s="0" t="n">
        <v>1</v>
      </c>
    </row>
    <row r="70" customFormat="false" ht="14.25" hidden="false" customHeight="false" outlineLevel="0" collapsed="false">
      <c r="A70" s="184"/>
      <c r="B70" s="184"/>
      <c r="C70" s="182" t="s">
        <v>72</v>
      </c>
      <c r="D70" s="182" t="s">
        <v>1048</v>
      </c>
      <c r="E70" s="182" t="s">
        <v>72</v>
      </c>
      <c r="F70" s="183" t="s">
        <v>997</v>
      </c>
      <c r="G70" s="58" t="s">
        <v>1045</v>
      </c>
      <c r="H70" s="58" t="s">
        <v>58</v>
      </c>
      <c r="I70" s="0" t="n">
        <v>1</v>
      </c>
    </row>
    <row r="71" customFormat="false" ht="14.25" hidden="false" customHeight="false" outlineLevel="0" collapsed="false">
      <c r="A71" s="187"/>
      <c r="B71" s="187"/>
      <c r="C71" s="187"/>
      <c r="D71" s="187"/>
      <c r="E71" s="187"/>
      <c r="F71" s="187"/>
      <c r="G71" s="58" t="s">
        <v>1045</v>
      </c>
      <c r="H71" s="58" t="s">
        <v>58</v>
      </c>
      <c r="I71" s="0" t="n">
        <v>1</v>
      </c>
    </row>
    <row r="72" customFormat="false" ht="14.25" hidden="false" customHeight="false" outlineLevel="0" collapsed="false">
      <c r="A72" s="180" t="s">
        <v>1045</v>
      </c>
      <c r="B72" s="181" t="n">
        <v>2</v>
      </c>
      <c r="C72" s="182" t="s">
        <v>69</v>
      </c>
      <c r="D72" s="185" t="s">
        <v>993</v>
      </c>
      <c r="E72" s="182"/>
      <c r="F72" s="186" t="s">
        <v>994</v>
      </c>
      <c r="G72" s="58" t="s">
        <v>1045</v>
      </c>
      <c r="H72" s="58" t="s">
        <v>58</v>
      </c>
      <c r="I72" s="0" t="n">
        <v>2</v>
      </c>
    </row>
    <row r="73" customFormat="false" ht="14.25" hidden="false" customHeight="false" outlineLevel="0" collapsed="false">
      <c r="A73" s="184"/>
      <c r="B73" s="184"/>
      <c r="C73" s="182" t="s">
        <v>70</v>
      </c>
      <c r="D73" s="182" t="s">
        <v>1049</v>
      </c>
      <c r="E73" s="182" t="s">
        <v>75</v>
      </c>
      <c r="F73" s="183" t="s">
        <v>997</v>
      </c>
      <c r="G73" s="58" t="s">
        <v>1045</v>
      </c>
      <c r="H73" s="58" t="s">
        <v>58</v>
      </c>
      <c r="I73" s="0" t="n">
        <v>2</v>
      </c>
    </row>
    <row r="74" customFormat="false" ht="14.25" hidden="false" customHeight="false" outlineLevel="0" collapsed="false">
      <c r="A74" s="184"/>
      <c r="B74" s="184"/>
      <c r="C74" s="182" t="s">
        <v>71</v>
      </c>
      <c r="D74" s="182" t="s">
        <v>1050</v>
      </c>
      <c r="E74" s="182" t="s">
        <v>75</v>
      </c>
      <c r="F74" s="183" t="s">
        <v>997</v>
      </c>
      <c r="G74" s="58" t="s">
        <v>1045</v>
      </c>
      <c r="H74" s="58" t="s">
        <v>58</v>
      </c>
      <c r="I74" s="0" t="n">
        <v>2</v>
      </c>
    </row>
    <row r="75" customFormat="false" ht="14.25" hidden="false" customHeight="false" outlineLevel="0" collapsed="false">
      <c r="A75" s="184"/>
      <c r="B75" s="184"/>
      <c r="C75" s="182" t="s">
        <v>72</v>
      </c>
      <c r="D75" s="182" t="s">
        <v>1051</v>
      </c>
      <c r="E75" s="182" t="s">
        <v>72</v>
      </c>
      <c r="F75" s="183" t="s">
        <v>997</v>
      </c>
      <c r="G75" s="58" t="s">
        <v>1045</v>
      </c>
      <c r="H75" s="58" t="s">
        <v>58</v>
      </c>
      <c r="I75" s="0" t="n">
        <v>2</v>
      </c>
    </row>
    <row r="76" customFormat="false" ht="14.25" hidden="false" customHeight="false" outlineLevel="0" collapsed="false">
      <c r="A76" s="184"/>
      <c r="B76" s="184"/>
      <c r="C76" s="190" t="s">
        <v>1015</v>
      </c>
      <c r="D76" s="190" t="s">
        <v>1052</v>
      </c>
      <c r="E76" s="190" t="s">
        <v>1053</v>
      </c>
      <c r="F76" s="191" t="s">
        <v>1017</v>
      </c>
      <c r="G76" s="58" t="s">
        <v>1045</v>
      </c>
      <c r="H76" s="58" t="s">
        <v>58</v>
      </c>
      <c r="I76" s="0" t="n">
        <v>2</v>
      </c>
    </row>
    <row r="77" customFormat="false" ht="14.25" hidden="false" customHeight="false" outlineLevel="0" collapsed="false">
      <c r="A77" s="187"/>
      <c r="B77" s="187"/>
      <c r="C77" s="187"/>
      <c r="D77" s="187"/>
      <c r="E77" s="187"/>
      <c r="F77" s="187"/>
      <c r="G77" s="58" t="s">
        <v>1045</v>
      </c>
      <c r="H77" s="58" t="s">
        <v>58</v>
      </c>
      <c r="I77" s="0" t="n">
        <v>2</v>
      </c>
    </row>
    <row r="78" customFormat="false" ht="14.25" hidden="false" customHeight="false" outlineLevel="0" collapsed="false">
      <c r="A78" s="172" t="s">
        <v>1054</v>
      </c>
      <c r="B78" s="173" t="n">
        <v>1</v>
      </c>
      <c r="C78" s="174" t="s">
        <v>69</v>
      </c>
      <c r="D78" s="174" t="s">
        <v>1055</v>
      </c>
      <c r="E78" s="174" t="s">
        <v>1022</v>
      </c>
      <c r="F78" s="178" t="s">
        <v>997</v>
      </c>
      <c r="G78" s="58" t="s">
        <v>1054</v>
      </c>
      <c r="H78" s="58" t="s">
        <v>59</v>
      </c>
      <c r="I78" s="0" t="n">
        <v>1</v>
      </c>
    </row>
    <row r="79" customFormat="false" ht="14.25" hidden="false" customHeight="false" outlineLevel="0" collapsed="false">
      <c r="A79" s="177"/>
      <c r="B79" s="177"/>
      <c r="C79" s="174" t="s">
        <v>70</v>
      </c>
      <c r="D79" s="174" t="s">
        <v>1056</v>
      </c>
      <c r="E79" s="174" t="s">
        <v>75</v>
      </c>
      <c r="F79" s="178" t="s">
        <v>997</v>
      </c>
      <c r="G79" s="58" t="s">
        <v>1054</v>
      </c>
      <c r="H79" s="58" t="s">
        <v>59</v>
      </c>
      <c r="I79" s="0" t="n">
        <v>1</v>
      </c>
    </row>
    <row r="80" customFormat="false" ht="14.25" hidden="false" customHeight="false" outlineLevel="0" collapsed="false">
      <c r="A80" s="177"/>
      <c r="B80" s="177"/>
      <c r="C80" s="174" t="s">
        <v>71</v>
      </c>
      <c r="D80" s="175" t="s">
        <v>993</v>
      </c>
      <c r="E80" s="174"/>
      <c r="F80" s="176" t="s">
        <v>994</v>
      </c>
      <c r="G80" s="58" t="s">
        <v>1054</v>
      </c>
      <c r="H80" s="58" t="s">
        <v>59</v>
      </c>
      <c r="I80" s="0" t="n">
        <v>1</v>
      </c>
    </row>
    <row r="81" customFormat="false" ht="14.25" hidden="false" customHeight="false" outlineLevel="0" collapsed="false">
      <c r="A81" s="177"/>
      <c r="B81" s="177"/>
      <c r="C81" s="174" t="s">
        <v>72</v>
      </c>
      <c r="D81" s="174" t="s">
        <v>1057</v>
      </c>
      <c r="E81" s="174" t="s">
        <v>72</v>
      </c>
      <c r="F81" s="178" t="s">
        <v>997</v>
      </c>
      <c r="G81" s="58" t="s">
        <v>1054</v>
      </c>
      <c r="H81" s="58" t="s">
        <v>59</v>
      </c>
      <c r="I81" s="0" t="n">
        <v>1</v>
      </c>
    </row>
    <row r="82" customFormat="false" ht="14.25" hidden="false" customHeight="false" outlineLevel="0" collapsed="false">
      <c r="A82" s="179"/>
      <c r="B82" s="179"/>
      <c r="C82" s="179"/>
      <c r="D82" s="179"/>
      <c r="E82" s="179"/>
      <c r="F82" s="179"/>
      <c r="G82" s="58" t="s">
        <v>1054</v>
      </c>
      <c r="H82" s="58" t="s">
        <v>59</v>
      </c>
      <c r="I82" s="0" t="n">
        <v>1</v>
      </c>
    </row>
    <row r="83" customFormat="false" ht="14.25" hidden="false" customHeight="false" outlineLevel="0" collapsed="false">
      <c r="A83" s="172" t="s">
        <v>1054</v>
      </c>
      <c r="B83" s="173" t="n">
        <v>2</v>
      </c>
      <c r="C83" s="174" t="s">
        <v>69</v>
      </c>
      <c r="D83" s="174" t="s">
        <v>1058</v>
      </c>
      <c r="E83" s="174" t="s">
        <v>69</v>
      </c>
      <c r="F83" s="178" t="s">
        <v>997</v>
      </c>
      <c r="G83" s="58" t="s">
        <v>1054</v>
      </c>
      <c r="H83" s="58" t="s">
        <v>59</v>
      </c>
      <c r="I83" s="0" t="n">
        <v>2</v>
      </c>
    </row>
    <row r="84" customFormat="false" ht="14.25" hidden="false" customHeight="false" outlineLevel="0" collapsed="false">
      <c r="A84" s="177"/>
      <c r="B84" s="177"/>
      <c r="C84" s="174" t="s">
        <v>70</v>
      </c>
      <c r="D84" s="174" t="s">
        <v>1059</v>
      </c>
      <c r="E84" s="174" t="s">
        <v>75</v>
      </c>
      <c r="F84" s="178" t="s">
        <v>997</v>
      </c>
      <c r="G84" s="58" t="s">
        <v>1054</v>
      </c>
      <c r="H84" s="58" t="s">
        <v>59</v>
      </c>
      <c r="I84" s="0" t="n">
        <v>2</v>
      </c>
    </row>
    <row r="85" customFormat="false" ht="14.25" hidden="false" customHeight="false" outlineLevel="0" collapsed="false">
      <c r="A85" s="177"/>
      <c r="B85" s="177"/>
      <c r="C85" s="174" t="s">
        <v>71</v>
      </c>
      <c r="D85" s="174" t="s">
        <v>1060</v>
      </c>
      <c r="E85" s="174" t="s">
        <v>996</v>
      </c>
      <c r="F85" s="178" t="s">
        <v>997</v>
      </c>
      <c r="G85" s="58" t="s">
        <v>1054</v>
      </c>
      <c r="H85" s="58" t="s">
        <v>59</v>
      </c>
      <c r="I85" s="0" t="n">
        <v>2</v>
      </c>
    </row>
    <row r="86" customFormat="false" ht="14.25" hidden="false" customHeight="false" outlineLevel="0" collapsed="false">
      <c r="A86" s="177"/>
      <c r="B86" s="177"/>
      <c r="C86" s="174" t="s">
        <v>72</v>
      </c>
      <c r="D86" s="174" t="s">
        <v>1061</v>
      </c>
      <c r="E86" s="174" t="s">
        <v>72</v>
      </c>
      <c r="F86" s="178" t="s">
        <v>997</v>
      </c>
      <c r="G86" s="58" t="s">
        <v>1054</v>
      </c>
      <c r="H86" s="58" t="s">
        <v>59</v>
      </c>
      <c r="I86" s="0" t="n">
        <v>2</v>
      </c>
    </row>
    <row r="87" customFormat="false" ht="14.25" hidden="false" customHeight="false" outlineLevel="0" collapsed="false">
      <c r="A87" s="179"/>
      <c r="B87" s="179"/>
      <c r="C87" s="179"/>
      <c r="D87" s="179"/>
      <c r="E87" s="179"/>
      <c r="F87" s="179"/>
      <c r="G87" s="58" t="s">
        <v>1054</v>
      </c>
      <c r="H87" s="58" t="s">
        <v>59</v>
      </c>
      <c r="I87" s="0" t="n">
        <v>2</v>
      </c>
    </row>
    <row r="89" customFormat="false" ht="14.25" hidden="false" customHeight="false" outlineLevel="0" collapsed="false">
      <c r="A89" s="192" t="s">
        <v>1062</v>
      </c>
      <c r="B89" s="192"/>
      <c r="C89" s="192"/>
      <c r="D89" s="192"/>
      <c r="E89" s="192"/>
      <c r="F89" s="192"/>
    </row>
    <row r="90" customFormat="false" ht="14.25" hidden="false" customHeight="false" outlineLevel="0" collapsed="false">
      <c r="A90" s="193" t="s">
        <v>1063</v>
      </c>
      <c r="B90" s="193" t="s">
        <v>989</v>
      </c>
      <c r="C90" s="193" t="s">
        <v>63</v>
      </c>
    </row>
    <row r="91" customFormat="false" ht="14.25" hidden="false" customHeight="false" outlineLevel="0" collapsed="false">
      <c r="A91" s="194" t="s">
        <v>1064</v>
      </c>
      <c r="B91" s="194" t="s">
        <v>1065</v>
      </c>
      <c r="C91" s="195" t="s">
        <v>1066</v>
      </c>
    </row>
    <row r="92" customFormat="false" ht="14.25" hidden="false" customHeight="false" outlineLevel="0" collapsed="false">
      <c r="A92" s="194" t="s">
        <v>1067</v>
      </c>
      <c r="B92" s="194" t="s">
        <v>1068</v>
      </c>
      <c r="C92" s="195" t="s">
        <v>1066</v>
      </c>
    </row>
    <row r="93" customFormat="false" ht="14.25" hidden="false" customHeight="false" outlineLevel="0" collapsed="false">
      <c r="A93" s="194" t="s">
        <v>1069</v>
      </c>
      <c r="B93" s="194" t="s">
        <v>1070</v>
      </c>
      <c r="C93" s="195" t="s">
        <v>1066</v>
      </c>
    </row>
    <row r="94" customFormat="false" ht="14.25" hidden="false" customHeight="false" outlineLevel="0" collapsed="false">
      <c r="A94" s="194" t="s">
        <v>1071</v>
      </c>
      <c r="B94" s="194" t="s">
        <v>1072</v>
      </c>
      <c r="C94" s="195" t="s">
        <v>1066</v>
      </c>
    </row>
    <row r="95" customFormat="false" ht="14.25" hidden="false" customHeight="false" outlineLevel="0" collapsed="false">
      <c r="A95" s="194" t="s">
        <v>1073</v>
      </c>
      <c r="B95" s="194" t="s">
        <v>1074</v>
      </c>
      <c r="C95" s="195" t="s">
        <v>1066</v>
      </c>
    </row>
    <row r="96" customFormat="false" ht="14.25" hidden="false" customHeight="false" outlineLevel="0" collapsed="false">
      <c r="A96" s="194" t="s">
        <v>1075</v>
      </c>
      <c r="B96" s="194" t="s">
        <v>1076</v>
      </c>
      <c r="C96" s="195" t="s">
        <v>1066</v>
      </c>
    </row>
    <row r="97" customFormat="false" ht="14.25" hidden="false" customHeight="false" outlineLevel="0" collapsed="false">
      <c r="A97" s="194" t="s">
        <v>1077</v>
      </c>
      <c r="B97" s="194" t="s">
        <v>1078</v>
      </c>
      <c r="C97" s="195" t="s">
        <v>1066</v>
      </c>
    </row>
    <row r="98" customFormat="false" ht="14.25" hidden="false" customHeight="false" outlineLevel="0" collapsed="false">
      <c r="A98" s="194" t="s">
        <v>1079</v>
      </c>
      <c r="B98" s="194" t="s">
        <v>1080</v>
      </c>
      <c r="C98" s="195" t="s">
        <v>1066</v>
      </c>
    </row>
    <row r="99" customFormat="false" ht="14.25" hidden="false" customHeight="false" outlineLevel="0" collapsed="false">
      <c r="A99" s="194" t="s">
        <v>1081</v>
      </c>
      <c r="B99" s="194" t="s">
        <v>1022</v>
      </c>
      <c r="C99" s="194" t="s">
        <v>69</v>
      </c>
    </row>
    <row r="100" customFormat="false" ht="14.25" hidden="false" customHeight="false" outlineLevel="0" collapsed="false">
      <c r="A100" s="194" t="s">
        <v>1082</v>
      </c>
      <c r="B100" s="194" t="s">
        <v>69</v>
      </c>
      <c r="C100" s="194" t="s">
        <v>69</v>
      </c>
    </row>
    <row r="101" customFormat="false" ht="14.25" hidden="false" customHeight="false" outlineLevel="0" collapsed="false">
      <c r="A101" s="194" t="s">
        <v>1083</v>
      </c>
      <c r="B101" s="194" t="s">
        <v>69</v>
      </c>
      <c r="C101" s="194" t="s">
        <v>69</v>
      </c>
    </row>
    <row r="102" customFormat="false" ht="14.25" hidden="false" customHeight="false" outlineLevel="0" collapsed="false">
      <c r="A102" s="194" t="s">
        <v>1084</v>
      </c>
      <c r="B102" s="194" t="s">
        <v>996</v>
      </c>
      <c r="C102" s="194" t="s">
        <v>75</v>
      </c>
    </row>
    <row r="103" customFormat="false" ht="14.25" hidden="false" customHeight="false" outlineLevel="0" collapsed="false">
      <c r="A103" s="194" t="s">
        <v>1085</v>
      </c>
      <c r="B103" s="194" t="s">
        <v>75</v>
      </c>
      <c r="C103" s="194" t="s">
        <v>75</v>
      </c>
    </row>
    <row r="104" customFormat="false" ht="14.25" hidden="false" customHeight="false" outlineLevel="0" collapsed="false">
      <c r="A104" s="194" t="s">
        <v>1086</v>
      </c>
      <c r="B104" s="194" t="s">
        <v>996</v>
      </c>
      <c r="C104" s="194" t="s">
        <v>75</v>
      </c>
    </row>
  </sheetData>
  <mergeCells count="3">
    <mergeCell ref="A1:F1"/>
    <mergeCell ref="A2:F2"/>
    <mergeCell ref="A89:F89"/>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2026-09-24T15:32:00Z</dcterms:created>
  <dc:creator>openpyxl</dc:creator>
  <dc:description/>
  <dc:language>en-US</dc:language>
  <cp:lastModifiedBy>aime-thierry</cp:lastModifiedBy>
  <dcterms:modified xsi:type="dcterms:W3CDTF">2026-09-28T17:16:36Z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1033-11.1.0.11723</vt:lpwstr>
  </property>
</Properties>
</file>